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ec6d36a19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83814afc10d48cb"/>
    <x:sheet xmlns:r="http://schemas.openxmlformats.org/officeDocument/2006/relationships" name="01_申请数据" sheetId="2" r:id="R9c414e91c50246aa"/>
    <x:sheet xmlns:r="http://schemas.openxmlformats.org/officeDocument/2006/relationships" name="02_征信特征" sheetId="3" r:id="Rb278f556b6194094"/>
    <x:sheet xmlns:r="http://schemas.openxmlformats.org/officeDocument/2006/relationships" name="03_决策日志" sheetId="4" r:id="R9cc92a1613764210"/>
    <x:sheet xmlns:r="http://schemas.openxmlformats.org/officeDocument/2006/relationships" name="04_人工审核" sheetId="5" r:id="R85d42a1d13704a24"/>
    <x:sheet xmlns:r="http://schemas.openxmlformats.org/officeDocument/2006/relationships" name="05_贷后表现" sheetId="6" r:id="R5f81e63433fd4445"/>
    <x:sheet xmlns:r="http://schemas.openxmlformats.org/officeDocument/2006/relationships" name="06_仿真宽表" sheetId="7" r:id="R204d6a6781c4475d"/>
    <x:sheet xmlns:r="http://schemas.openxmlformats.org/officeDocument/2006/relationships" name="字段字典" sheetId="8" r:id="Rb488260f30ab41a8"/>
    <x:sheet xmlns:r="http://schemas.openxmlformats.org/officeDocument/2006/relationships" name="一致性检查" sheetId="9" r:id="R7c077e073af1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#,##0"/>
    <x:numFmt numFmtId="202" formatCode="0"/>
    <x:numFmt numFmtId="203" formatCode="0.0%"/>
    <x:numFmt numFmtId="204" formatCode="yyyy-mm-dd"/>
  </x:numFmts>
  <x:fonts count="12">
    <x:font>
      <x:sz val="11"/>
      <x:name val="Carlito"/>
    </x:font>
    <x:font>
      <x:b/>
      <x:sz val="16"/>
      <x:color rgb="FFFFFFFF"/>
      <x:name val="Carlito"/>
    </x:font>
    <x:font>
      <x:sz val="10"/>
      <x:color rgb="FF667085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0000FF"/>
      <x:name val="Carlito"/>
    </x:font>
    <x:font>
      <x:sz val="10"/>
      <x:color rgb="FF008000"/>
      <x:name val="Carlito"/>
    </x:font>
    <x:font>
      <x:b/>
      <x:sz val="20"/>
      <x:color rgb="FFFFFFFF"/>
      <x:name val="Carlito"/>
    </x:font>
    <x:font>
      <x:sz val="11"/>
      <x:color rgb="FF667085"/>
      <x:name val="Carlito"/>
    </x:font>
    <x:font>
      <x:b/>
      <x:sz val="11"/>
      <x:color rgb="FF20364F"/>
      <x:name val="Carlito"/>
    </x:font>
    <x:font>
      <x:sz val="11"/>
      <x:color rgb="FF9A6700"/>
      <x:name val="Carlito"/>
    </x:font>
    <x:font>
      <x:b/>
      <x:sz val="11"/>
      <x:color rgb="FF17724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0364F"/>
      </x:patternFill>
    </x:fill>
    <x:fill>
      <x:patternFill patternType="solid">
        <x:fgColor rgb="FFEAF2FF"/>
      </x:patternFill>
    </x:fill>
    <x:fill>
      <x:patternFill patternType="solid">
        <x:fgColor rgb="FFFFF7DF"/>
      </x:patternFill>
    </x:fill>
    <x:fill>
      <x:patternFill patternType="solid">
        <x:fgColor rgb="FFEAF6EF"/>
      </x:patternFill>
    </x:fill>
  </x:fills>
  <x:borders count="5">
    <x:border/>
    <x:border>
      <x:bottom style="thin">
        <x:color rgb="FFD9DEE6"/>
      </x:bottom>
    </x:border>
    <x:border>
      <x:top style="thin">
        <x:color rgb="FFD9DEE6"/>
      </x:top>
      <x:bottom style="thin">
        <x:color rgb="FFD9DEE6"/>
      </x:bottom>
    </x:border>
    <x:border>
      <x:top style="thin">
        <x:color rgb="FFD9DEE6"/>
      </x:top>
    </x:border>
    <x:border>
      <x:top style="double">
        <x:color rgb="FF20364F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3" fontId="6" fillId="0" borderId="1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3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201" fontId="6" fillId="0" borderId="3" xfId="0" applyNumberFormat="1" applyFont="1" applyFill="1" applyBorder="1" applyAlignment="1">
      <x:alignment vertical="center"/>
    </x:xf>
    <x:xf numFmtId="202" fontId="6" fillId="0" borderId="3" xfId="0" applyNumberFormat="1" applyFont="1" applyFill="1" applyBorder="1" applyAlignment="1">
      <x:alignment vertical="center"/>
    </x:xf>
    <x:xf numFmtId="203" fontId="6" fillId="0" borderId="3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5" borderId="1" xfId="0" applyNumberFormat="1" applyFont="1" applyFill="1" applyBorder="1" applyAlignment="1">
      <x:alignment vertical="center"/>
    </x:xf>
    <x:xf numFmtId="202" fontId="0" fillId="5" borderId="2" xfId="0" applyNumberFormat="1" applyFont="1" applyFill="1" applyBorder="1" applyAlignment="1">
      <x:alignment vertical="center"/>
    </x:xf>
    <x:xf numFmtId="202" fontId="0" fillId="5" borderId="3" xfId="0" applyNumberFormat="1" applyFont="1" applyFill="1" applyBorder="1" applyAlignment="1">
      <x:alignment vertical="center"/>
    </x:xf>
    <x:xf numFmtId="202" fontId="11" fillId="5" borderId="1" xfId="0" applyNumberFormat="1" applyFont="1" applyFill="1" applyBorder="1" applyAlignment="1">
      <x:alignment vertical="center"/>
    </x:xf>
    <x:xf numFmtId="202" fontId="11" fillId="5" borderId="2" xfId="0" applyNumberFormat="1" applyFont="1" applyFill="1" applyBorder="1" applyAlignment="1">
      <x:alignment vertical="center"/>
    </x:xf>
    <x:xf numFmtId="202" fontId="11" fillId="5" borderId="3" xfId="0" applyNumberFormat="1" applyFont="1" applyFill="1" applyBorder="1" applyAlignment="1">
      <x:alignment vertical="center"/>
    </x:xf>
    <x:xf numFmtId="202" fontId="11" fillId="5" borderId="1" xfId="0" applyNumberFormat="1" applyFont="1" applyFill="1" applyBorder="1" applyAlignment="1">
      <x:alignment horizontal="center" vertical="center"/>
    </x:xf>
    <x:xf numFmtId="202" fontId="11" fillId="5" borderId="2" xfId="0" applyNumberFormat="1" applyFont="1" applyFill="1" applyBorder="1" applyAlignment="1">
      <x:alignment horizontal="center" vertical="center"/>
    </x:xf>
    <x:xf numFmtId="202" fontId="11" fillId="5" borderId="3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vertical="center"/>
    </x:xf>
    <x:xf numFmtId="202" fontId="0" fillId="3" borderId="3" xfId="0" applyNumberFormat="1" applyFont="1" applyFill="1" applyBorder="1" applyAlignment="1">
      <x:alignment vertical="center"/>
    </x:xf>
    <x:xf numFmtId="202" fontId="11" fillId="3" borderId="3" xfId="0" applyNumberFormat="1" applyFont="1" applyFill="1" applyBorder="1" applyAlignment="1">
      <x:alignment horizontal="center" vertical="center"/>
    </x:xf>
    <x:xf numFmtId="0" fontId="9" fillId="3" borderId="3" xfId="0" applyNumberFormat="1" applyFont="1" applyFill="1" applyBorder="1" applyAlignment="1">
      <x:alignment vertical="center"/>
    </x:xf>
    <x:xf numFmtId="202" fontId="9" fillId="3" borderId="3" xfId="0" applyNumberFormat="1" applyFont="1" applyFill="1" applyBorder="1" applyAlignment="1">
      <x:alignment vertical="center"/>
    </x:xf>
    <x:xf numFmtId="202" fontId="9" fillId="3" borderId="3" xfId="0" applyNumberFormat="1" applyFont="1" applyFill="1" applyBorder="1" applyAlignment="1">
      <x:alignment horizontal="center" vertical="center"/>
    </x:xf>
    <x:xf numFmtId="0" fontId="9" fillId="3" borderId="4" xfId="0" applyNumberFormat="1" applyFont="1" applyFill="1" applyBorder="1" applyAlignment="1">
      <x:alignment vertical="center"/>
    </x:xf>
    <x:xf numFmtId="202" fontId="9" fillId="3" borderId="4" xfId="0" applyNumberFormat="1" applyFont="1" applyFill="1" applyBorder="1" applyAlignment="1">
      <x:alignment vertical="center"/>
    </x:xf>
    <x:xf numFmtId="202" fontId="9" fillId="3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11f3decba4cd7" /><Relationship Type="http://schemas.openxmlformats.org/officeDocument/2006/relationships/theme" Target="/xl/theme/theme1.xml" Id="Rf6c0da9c7fc949e9" /><Relationship Type="http://schemas.openxmlformats.org/officeDocument/2006/relationships/sharedStrings" Target="/xl/sharedStrings.xml" Id="Rf2c0d9df9f5f4290" /><Relationship Type="http://schemas.openxmlformats.org/officeDocument/2006/relationships/worksheet" Target="/xl/worksheets/sheet1.xml" Id="R083814afc10d48cb" /><Relationship Type="http://schemas.openxmlformats.org/officeDocument/2006/relationships/worksheet" Target="/xl/worksheets/sheet2.xml" Id="R9c414e91c50246aa" /><Relationship Type="http://schemas.openxmlformats.org/officeDocument/2006/relationships/worksheet" Target="/xl/worksheets/sheet3.xml" Id="Rb278f556b6194094" /><Relationship Type="http://schemas.openxmlformats.org/officeDocument/2006/relationships/worksheet" Target="/xl/worksheets/sheet4.xml" Id="R9cc92a1613764210" /><Relationship Type="http://schemas.openxmlformats.org/officeDocument/2006/relationships/worksheet" Target="/xl/worksheets/sheet5.xml" Id="R85d42a1d13704a24" /><Relationship Type="http://schemas.openxmlformats.org/officeDocument/2006/relationships/worksheet" Target="/xl/worksheets/sheet6.xml" Id="R5f81e63433fd4445" /><Relationship Type="http://schemas.openxmlformats.org/officeDocument/2006/relationships/worksheet" Target="/xl/worksheets/sheet7.xml" Id="R204d6a6781c4475d" /><Relationship Type="http://schemas.openxmlformats.org/officeDocument/2006/relationships/worksheet" Target="/xl/worksheets/sheet8.xml" Id="Rb488260f30ab41a8" /><Relationship Type="http://schemas.openxmlformats.org/officeDocument/2006/relationships/worksheet" Target="/xl/worksheets/sheet9.xml" Id="R7c077e073af14d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9" hidden="0" customWidth="1"/>
    <x:col min="4" max="4" width="30" hidden="0" customWidth="1"/>
    <x:col min="5" max="5" width="22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30" customHeight="1">
      <x:c r="A1" s="56" t="str">
        <x:v>信贷策略仿真｜模拟数据包</x:v>
      </x:c>
      <x:c r="B1" s="56"/>
      <x:c r="C1" s="56"/>
      <x:c r="D1" s="56"/>
      <x:c r="E1" s="56"/>
      <x:c r="F1" s="56"/>
      <x:c r="G1" s="56"/>
      <x:c r="H1" s="56"/>
    </x:row>
    <x:row r="2" ht="30" customHeight="1">
      <x:c r="A2" s="56"/>
      <x:c r="B2" s="56"/>
      <x:c r="C2" s="56"/>
      <x:c r="D2" s="56"/>
      <x:c r="E2" s="56"/>
      <x:c r="F2" s="56"/>
      <x:c r="G2" s="56"/>
      <x:c r="H2" s="56"/>
    </x:row>
    <x:row r="3" ht="28" customHeight="1">
      <x:c r="A3" s="58" t="str">
        <x:v>200笔完全虚构、不可识别个人的数据，用于演示多系统关联、历史回放和候选策略比较。</x:v>
      </x:c>
      <x:c r="B3" s="58"/>
      <x:c r="C3" s="58"/>
      <x:c r="D3" s="58"/>
      <x:c r="E3" s="58"/>
      <x:c r="F3" s="58"/>
      <x:c r="G3" s="58"/>
      <x:c r="H3" s="58"/>
    </x:row>
    <x:row r="5">
      <x:c r="A5" s="8" t="str">
        <x:v>数据从哪里来、分别包含什么</x:v>
      </x:c>
      <x:c r="B5" s="8"/>
      <x:c r="C5" s="8"/>
      <x:c r="D5" s="8"/>
      <x:c r="E5" s="8"/>
      <x:c r="F5" s="8"/>
      <x:c r="G5" s="8"/>
      <x:c r="H5" s="8"/>
    </x:row>
    <x:row r="6">
      <x:c r="A6" s="61" t="str">
        <x:v>序号</x:v>
      </x:c>
      <x:c r="B6" s="61" t="str">
        <x:v>来源系统</x:v>
      </x:c>
      <x:c r="C6" s="61" t="str">
        <x:v>工作表</x:v>
      </x:c>
      <x:c r="D6" s="61" t="str">
        <x:v>主要内容</x:v>
      </x:c>
      <x:c r="E6" s="61" t="str">
        <x:v>关联键</x:v>
      </x:c>
      <x:c r="F6" s="61" t="str">
        <x:v>本样例记录数</x:v>
      </x:c>
      <x:c r="G6" s="61" t="str">
        <x:v>是否含结果字段</x:v>
      </x:c>
      <x:c r="H6" s="61" t="str">
        <x:v>使用提醒</x:v>
      </x:c>
    </x:row>
    <x:row r="7" ht="36" customHeight="1">
      <x:c r="A7" s="68" t="n">
        <x:v>1</x:v>
      </x:c>
      <x:c r="B7" s="68" t="str">
        <x:v>贷款申请系统</x:v>
      </x:c>
      <x:c r="C7" s="68" t="str">
        <x:v>01_申请数据</x:v>
      </x:c>
      <x:c r="D7" s="68" t="str">
        <x:v>申请金额、期限、收入、职业、渠道</x:v>
      </x:c>
      <x:c r="E7" s="68" t="str">
        <x:v>application_id</x:v>
      </x:c>
      <x:c r="F7" s="68" t="n">
        <x:v>200</x:v>
      </x:c>
      <x:c r="G7" s="68" t="str">
        <x:v>否</x:v>
      </x:c>
      <x:c r="H7" s="68" t="str">
        <x:v>只使用申请时已存在信息</x:v>
      </x:c>
    </x:row>
    <x:row r="8" ht="36" customHeight="1">
      <x:c r="A8" s="69" t="n">
        <x:v>2</x:v>
      </x:c>
      <x:c r="B8" s="69" t="str">
        <x:v>征信/特征平台</x:v>
      </x:c>
      <x:c r="C8" s="69" t="str">
        <x:v>02_征信特征</x:v>
      </x:c>
      <x:c r="D8" s="69" t="str">
        <x:v>评分、负债、逾期、查询、白名单</x:v>
      </x:c>
      <x:c r="E8" s="69" t="str">
        <x:v>application_id</x:v>
      </x:c>
      <x:c r="F8" s="69" t="n">
        <x:v>200</x:v>
      </x:c>
      <x:c r="G8" s="69" t="str">
        <x:v>否</x:v>
      </x:c>
      <x:c r="H8" s="69" t="str">
        <x:v>特征快照必须早于决策</x:v>
      </x:c>
    </x:row>
    <x:row r="9" ht="36" customHeight="1">
      <x:c r="A9" s="69" t="n">
        <x:v>3</x:v>
      </x:c>
      <x:c r="B9" s="69" t="str">
        <x:v>决策引擎</x:v>
      </x:c>
      <x:c r="C9" s="69" t="str">
        <x:v>03_决策日志</x:v>
      </x:c>
      <x:c r="D9" s="69" t="str">
        <x:v>旧策略版本、决策、命中规则、解释</x:v>
      </x:c>
      <x:c r="E9" s="69" t="str">
        <x:v>application_id</x:v>
      </x:c>
      <x:c r="F9" s="69" t="n">
        <x:v>200</x:v>
      </x:c>
      <x:c r="G9" s="69" t="str">
        <x:v>是</x:v>
      </x:c>
      <x:c r="H9" s="69" t="str">
        <x:v>用于复现旧规则结果</x:v>
      </x:c>
    </x:row>
    <x:row r="10" ht="36" customHeight="1">
      <x:c r="A10" s="69" t="n">
        <x:v>4</x:v>
      </x:c>
      <x:c r="B10" s="69" t="str">
        <x:v>人工审核系统</x:v>
      </x:c>
      <x:c r="C10" s="69" t="str">
        <x:v>04_人工审核</x:v>
      </x:c>
      <x:c r="D10" s="69" t="str">
        <x:v>审核结论、原因、时长</x:v>
      </x:c>
      <x:c r="E10" s="69" t="str">
        <x:v>application_id</x:v>
      </x:c>
      <x:c r="F10" s="69" t="n">
        <x:v>53</x:v>
      </x:c>
      <x:c r="G10" s="69" t="str">
        <x:v>是</x:v>
      </x:c>
      <x:c r="H10" s="69" t="str">
        <x:v>只有REVIEW申请存在</x:v>
      </x:c>
    </x:row>
    <x:row r="11" ht="36" customHeight="1">
      <x:c r="A11" s="70" t="n">
        <x:v>5</x:v>
      </x:c>
      <x:c r="B11" s="70" t="str">
        <x:v>账务/贷后系统</x:v>
      </x:c>
      <x:c r="C11" s="70" t="str">
        <x:v>05_贷后表现</x:v>
      </x:c>
      <x:c r="D11" s="70" t="str">
        <x:v>放款金额、30/90天逾期、观察期</x:v>
      </x:c>
      <x:c r="E11" s="70" t="str">
        <x:v>application_id</x:v>
      </x:c>
      <x:c r="F11" s="70" t="n">
        <x:v>133</x:v>
      </x:c>
      <x:c r="G11" s="70" t="str">
        <x:v>是</x:v>
      </x:c>
      <x:c r="H11" s="70" t="str">
        <x:v>只有已放款申请有贷后标签</x:v>
      </x:c>
    </x:row>
    <x:row r="13">
      <x:c r="A13" s="8" t="str">
        <x:v>推荐使用方式</x:v>
      </x:c>
      <x:c r="B13" s="8"/>
      <x:c r="C13" s="8"/>
      <x:c r="D13" s="8"/>
      <x:c r="E13" s="8"/>
      <x:c r="F13" s="8"/>
      <x:c r="G13" s="8"/>
      <x:c r="H13" s="8"/>
    </x:row>
    <x:row r="14">
      <x:c r="A14" s="61" t="str">
        <x:v>场景</x:v>
      </x:c>
      <x:c r="B14" s="61" t="str">
        <x:v>操作</x:v>
      </x:c>
      <x:c r="C14" s="61" t="str">
        <x:v>输入</x:v>
      </x:c>
      <x:c r="D14" s="61" t="str">
        <x:v>输出</x:v>
      </x:c>
      <x:c r="E14" s="61" t="str">
        <x:v>关键限制</x:v>
      </x:c>
      <x:c r="F14" s="61" t="str">
        <x:v>责任边界</x:v>
      </x:c>
      <x:c r="G14" s="61" t="str">
        <x:v>推荐顺序</x:v>
      </x:c>
      <x:c r="H14" s="61" t="str">
        <x:v>状态</x:v>
      </x:c>
    </x:row>
    <x:row r="15" ht="42" customHeight="1">
      <x:c r="A15" s="68" t="str">
        <x:v>理解数据</x:v>
      </x:c>
      <x:c r="B15" s="68" t="str">
        <x:v>先阅读字段字典</x:v>
      </x:c>
      <x:c r="C15" s="68" t="str">
        <x:v>五张源表</x:v>
      </x:c>
      <x:c r="D15" s="68" t="str">
        <x:v>字段含义与口径</x:v>
      </x:c>
      <x:c r="E15" s="68" t="str">
        <x:v>不要直接使用结果字段做规则</x:v>
      </x:c>
      <x:c r="F15" s="68" t="str">
        <x:v>不含真实客户</x:v>
      </x:c>
      <x:c r="G15" s="68" t="n">
        <x:v>1</x:v>
      </x:c>
      <x:c r="H15" s="68" t="str">
        <x:v>READY</x:v>
      </x:c>
    </x:row>
    <x:row r="16" ht="42" customHeight="1">
      <x:c r="A16" s="69" t="str">
        <x:v>数据关联</x:v>
      </x:c>
      <x:c r="B16" s="69" t="str">
        <x:v>用application_id左连接</x:v>
      </x:c>
      <x:c r="C16" s="69" t="str">
        <x:v>五张源表</x:v>
      </x:c>
      <x:c r="D16" s="69" t="str">
        <x:v>06_仿真宽表</x:v>
      </x:c>
      <x:c r="E16" s="69" t="str">
        <x:v>拒绝客户没有贷后标签</x:v>
      </x:c>
      <x:c r="F16" s="69" t="str">
        <x:v>缺失不是未逾期</x:v>
      </x:c>
      <x:c r="G16" s="69" t="n">
        <x:v>2</x:v>
      </x:c>
      <x:c r="H16" s="69" t="str">
        <x:v>READY</x:v>
      </x:c>
    </x:row>
    <x:row r="17" ht="42" customHeight="1">
      <x:c r="A17" s="69" t="str">
        <x:v>历史回放</x:v>
      </x:c>
      <x:c r="B17" s="69" t="str">
        <x:v>分别执行旧规则与候选规则</x:v>
      </x:c>
      <x:c r="C17" s="69" t="str">
        <x:v>06_仿真宽表</x:v>
      </x:c>
      <x:c r="D17" s="69" t="str">
        <x:v>PASS/REVIEW/REJECT</x:v>
      </x:c>
      <x:c r="E17" s="69" t="str">
        <x:v>同一快照、同一申请时点</x:v>
      </x:c>
      <x:c r="F17" s="69" t="str">
        <x:v>辅助评估</x:v>
      </x:c>
      <x:c r="G17" s="69" t="n">
        <x:v>3</x:v>
      </x:c>
      <x:c r="H17" s="69" t="str">
        <x:v>READY</x:v>
      </x:c>
    </x:row>
    <x:row r="18" ht="42" customHeight="1">
      <x:c r="A18" s="70" t="str">
        <x:v>结果解释</x:v>
      </x:c>
      <x:c r="B18" s="70" t="str">
        <x:v>比较决策迁移和成熟样本风险</x:v>
      </x:c>
      <x:c r="C18" s="70" t="str">
        <x:v>仿真结果</x:v>
      </x:c>
      <x:c r="D18" s="70" t="str">
        <x:v>影响报告</x:v>
      </x:c>
      <x:c r="E18" s="70" t="str">
        <x:v>逾期率是历史代理指标</x:v>
      </x:c>
      <x:c r="F18" s="70" t="str">
        <x:v>不代表未来真实损失</x:v>
      </x:c>
      <x:c r="G18" s="70" t="n">
        <x:v>4</x:v>
      </x:c>
      <x:c r="H18" s="70" t="str">
        <x:v>READY</x:v>
      </x:c>
    </x:row>
    <x:row r="20">
      <x:c r="A20" s="8" t="str">
        <x:v>隐私与模拟声明</x:v>
      </x:c>
      <x:c r="B20" s="8"/>
      <x:c r="C20" s="8"/>
      <x:c r="D20" s="8"/>
      <x:c r="E20" s="8"/>
      <x:c r="F20" s="8"/>
      <x:c r="G20" s="8"/>
      <x:c r="H20" s="8"/>
    </x:row>
    <x:row r="21" ht="26" customHeight="1">
      <x:c r="A21" s="74" t="str">
        <x:v>本工作簿全部为固定随机种子生成的虚构数据。application_id 和 customer_token 仅用于演示关联；不包含姓名、身份证号、手机号、银行卡号、单位名称或详细地址。生产试点时应在机构内部脱敏后再导出，并由合规人员确认用途、范围和留存期限。</x:v>
      </x:c>
      <x:c r="B21" s="74"/>
      <x:c r="C21" s="74"/>
      <x:c r="D21" s="74"/>
      <x:c r="E21" s="74"/>
      <x:c r="F21" s="74"/>
      <x:c r="G21" s="74"/>
      <x:c r="H21" s="74"/>
    </x:row>
    <x:row r="22" ht="26" customHeight="1">
      <x:c r="A22" s="74"/>
      <x:c r="B22" s="74"/>
      <x:c r="C22" s="74"/>
      <x:c r="D22" s="74"/>
      <x:c r="E22" s="74"/>
      <x:c r="F22" s="74"/>
      <x:c r="G22" s="74"/>
      <x:c r="H22" s="74"/>
    </x:row>
    <x:row r="23" ht="26" customHeight="1">
      <x:c r="A23" s="74"/>
      <x:c r="B23" s="74"/>
      <x:c r="C23" s="74"/>
      <x:c r="D23" s="74"/>
      <x:c r="E23" s="74"/>
      <x:c r="F23" s="74"/>
      <x:c r="G23" s="74"/>
      <x:c r="H23" s="74"/>
    </x:row>
  </x:sheetData>
  <x:mergeCells>
    <x:mergeCell ref="A1:H2"/>
    <x:mergeCell ref="A3:H3"/>
    <x:mergeCell ref="A5:H5"/>
    <x:mergeCell ref="A13:H13"/>
    <x:mergeCell ref="A20:H20"/>
    <x:mergeCell ref="A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0" hidden="0" customWidth="1"/>
    <x:col min="4" max="4" width="14" hidden="0" customWidth="1"/>
    <x:col min="5" max="5" width="15" hidden="0" customWidth="1"/>
    <x:col min="6" max="6" width="12" hidden="0" customWidth="1"/>
    <x:col min="7" max="7" width="11" hidden="0" customWidth="1"/>
    <x:col min="8" max="8" width="13" hidden="0" customWidth="1"/>
    <x:col min="9" max="9" width="18" hidden="0" customWidth="1"/>
    <x:col min="10" max="10" width="14" hidden="0" customWidth="1"/>
    <x:col min="11" max="11" width="11" hidden="0" customWidth="1"/>
    <x:col min="12" max="12" width="13" hidden="0" customWidth="1"/>
  </x:cols>
  <x:sheetData>
    <x:row r="1" ht="30" customHeight="1">
      <x:c r="A1" s="3" t="str">
        <x:v>01｜贷款申请数据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来源：贷款申请系统。每行一笔申请，不包含姓名、身份证号、手机号或详细地址。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1" t="str">
        <x:v>application_id</x:v>
      </x:c>
      <x:c r="B4" s="11" t="str">
        <x:v>customer_token</x:v>
      </x:c>
      <x:c r="C4" s="11" t="str">
        <x:v>apply_time</x:v>
      </x:c>
      <x:c r="D4" s="11" t="str">
        <x:v>product_code</x:v>
      </x:c>
      <x:c r="E4" s="11" t="str">
        <x:v>requested_amount</x:v>
      </x:c>
      <x:c r="F4" s="11" t="str">
        <x:v>term_months</x:v>
      </x:c>
      <x:c r="G4" s="11" t="str">
        <x:v>age_band</x:v>
      </x:c>
      <x:c r="H4" s="11" t="str">
        <x:v>region_code</x:v>
      </x:c>
      <x:c r="I4" s="11" t="str">
        <x:v>occupation_type</x:v>
      </x:c>
      <x:c r="J4" s="11" t="str">
        <x:v>monthly_income</x:v>
      </x:c>
      <x:c r="K4" s="11" t="str">
        <x:v>work_years</x:v>
      </x:c>
      <x:c r="L4" s="11" t="str">
        <x:v>channel_code</x:v>
      </x:c>
    </x:row>
    <x:row r="5">
      <x:c r="A5" s="16" t="str">
        <x:v>APP2025000001</x:v>
      </x:c>
      <x:c r="B5" s="16" t="str">
        <x:v>CUS_00100000</x:v>
      </x:c>
      <x:c r="C5" s="19" t="n">
        <x:v>45801.52013888889</x:v>
      </x:c>
      <x:c r="D5" s="16" t="str">
        <x:v>PL_STD_01</x:v>
      </x:c>
      <x:c r="E5" s="22" t="n">
        <x:v>60000</x:v>
      </x:c>
      <x:c r="F5" s="25" t="n">
        <x:v>36</x:v>
      </x:c>
      <x:c r="G5" s="16" t="str">
        <x:v>41-50</x:v>
      </x:c>
      <x:c r="H5" s="16" t="str">
        <x:v>CENTRAL</x:v>
      </x:c>
      <x:c r="I5" s="16" t="str">
        <x:v>物流从业者</x:v>
      </x:c>
      <x:c r="J5" s="22" t="n">
        <x:v>14400</x:v>
      </x:c>
      <x:c r="K5" s="25" t="n">
        <x:v>13</x:v>
      </x:c>
      <x:c r="L5" s="16" t="str">
        <x:v>APP</x:v>
      </x:c>
    </x:row>
    <x:row r="6">
      <x:c r="A6" s="17" t="str">
        <x:v>APP2025000002</x:v>
      </x:c>
      <x:c r="B6" s="17" t="str">
        <x:v>CUS_00100097</x:v>
      </x:c>
      <x:c r="C6" s="20" t="n">
        <x:v>45751.52291666667</x:v>
      </x:c>
      <x:c r="D6" s="17" t="str">
        <x:v>PL_STD_01</x:v>
      </x:c>
      <x:c r="E6" s="23" t="n">
        <x:v>10000</x:v>
      </x:c>
      <x:c r="F6" s="26" t="n">
        <x:v>18</x:v>
      </x:c>
      <x:c r="G6" s="17" t="str">
        <x:v>41-50</x:v>
      </x:c>
      <x:c r="H6" s="17" t="str">
        <x:v>NORTH</x:v>
      </x:c>
      <x:c r="I6" s="17" t="str">
        <x:v>公共服务</x:v>
      </x:c>
      <x:c r="J6" s="23" t="n">
        <x:v>20700</x:v>
      </x:c>
      <x:c r="K6" s="26" t="n">
        <x:v>6</x:v>
      </x:c>
      <x:c r="L6" s="17" t="str">
        <x:v>WEB</x:v>
      </x:c>
    </x:row>
    <x:row r="7">
      <x:c r="A7" s="17" t="str">
        <x:v>APP2025000003</x:v>
      </x:c>
      <x:c r="B7" s="17" t="str">
        <x:v>CUS_00100194</x:v>
      </x:c>
      <x:c r="C7" s="20" t="n">
        <x:v>45722.5375</x:v>
      </x:c>
      <x:c r="D7" s="17" t="str">
        <x:v>PL_STD_01</x:v>
      </x:c>
      <x:c r="E7" s="23" t="n">
        <x:v>14000</x:v>
      </x:c>
      <x:c r="F7" s="26" t="n">
        <x:v>36</x:v>
      </x:c>
      <x:c r="G7" s="17" t="str">
        <x:v>21-30</x:v>
      </x:c>
      <x:c r="H7" s="17" t="str">
        <x:v>NORTH</x:v>
      </x:c>
      <x:c r="I7" s="17" t="str">
        <x:v>零售从业者</x:v>
      </x:c>
      <x:c r="J7" s="23" t="n">
        <x:v>19700</x:v>
      </x:c>
      <x:c r="K7" s="26" t="n">
        <x:v>13</x:v>
      </x:c>
      <x:c r="L7" s="17" t="str">
        <x:v>APP</x:v>
      </x:c>
    </x:row>
    <x:row r="8">
      <x:c r="A8" s="17" t="str">
        <x:v>APP2025000004</x:v>
      </x:c>
      <x:c r="B8" s="17" t="str">
        <x:v>CUS_00100291</x:v>
      </x:c>
      <x:c r="C8" s="20" t="n">
        <x:v>45737.38125</x:v>
      </x:c>
      <x:c r="D8" s="17" t="str">
        <x:v>PL_STD_01</x:v>
      </x:c>
      <x:c r="E8" s="23" t="n">
        <x:v>32000</x:v>
      </x:c>
      <x:c r="F8" s="26" t="n">
        <x:v>24</x:v>
      </x:c>
      <x:c r="G8" s="17" t="str">
        <x:v>51-60</x:v>
      </x:c>
      <x:c r="H8" s="17" t="str">
        <x:v>SOUTH</x:v>
      </x:c>
      <x:c r="I8" s="17" t="str">
        <x:v>个体经营</x:v>
      </x:c>
      <x:c r="J8" s="23" t="n">
        <x:v>14200</x:v>
      </x:c>
      <x:c r="K8" s="26" t="n">
        <x:v>15</x:v>
      </x:c>
      <x:c r="L8" s="17" t="str">
        <x:v>PARTNER</x:v>
      </x:c>
    </x:row>
    <x:row r="9">
      <x:c r="A9" s="17" t="str">
        <x:v>APP2025000005</x:v>
      </x:c>
      <x:c r="B9" s="17" t="str">
        <x:v>CUS_00100388</x:v>
      </x:c>
      <x:c r="C9" s="20" t="n">
        <x:v>45818.41527777778</x:v>
      </x:c>
      <x:c r="D9" s="17" t="str">
        <x:v>PL_STD_01</x:v>
      </x:c>
      <x:c r="E9" s="23" t="n">
        <x:v>108000</x:v>
      </x:c>
      <x:c r="F9" s="26" t="n">
        <x:v>12</x:v>
      </x:c>
      <x:c r="G9" s="17" t="str">
        <x:v>31-40</x:v>
      </x:c>
      <x:c r="H9" s="17" t="str">
        <x:v>SOUTHWEST</x:v>
      </x:c>
      <x:c r="I9" s="17" t="str">
        <x:v>物流从业者</x:v>
      </x:c>
      <x:c r="J9" s="23" t="n">
        <x:v>12800</x:v>
      </x:c>
      <x:c r="K9" s="26" t="n">
        <x:v>9</x:v>
      </x:c>
      <x:c r="L9" s="17" t="str">
        <x:v>APP</x:v>
      </x:c>
    </x:row>
    <x:row r="10">
      <x:c r="A10" s="17" t="str">
        <x:v>APP2025000006</x:v>
      </x:c>
      <x:c r="B10" s="17" t="str">
        <x:v>CUS_00100485</x:v>
      </x:c>
      <x:c r="C10" s="20" t="n">
        <x:v>45778.501388888886</x:v>
      </x:c>
      <x:c r="D10" s="17" t="str">
        <x:v>PL_STD_01</x:v>
      </x:c>
      <x:c r="E10" s="23" t="n">
        <x:v>76000</x:v>
      </x:c>
      <x:c r="F10" s="26" t="n">
        <x:v>18</x:v>
      </x:c>
      <x:c r="G10" s="17" t="str">
        <x:v>31-40</x:v>
      </x:c>
      <x:c r="H10" s="17" t="str">
        <x:v>EAST</x:v>
      </x:c>
      <x:c r="I10" s="17" t="str">
        <x:v>制造业职员</x:v>
      </x:c>
      <x:c r="J10" s="23" t="n">
        <x:v>15300</x:v>
      </x:c>
      <x:c r="K10" s="26" t="n">
        <x:v>14</x:v>
      </x:c>
      <x:c r="L10" s="17" t="str">
        <x:v>WEB</x:v>
      </x:c>
    </x:row>
    <x:row r="11">
      <x:c r="A11" s="17" t="str">
        <x:v>APP2025000007</x:v>
      </x:c>
      <x:c r="B11" s="17" t="str">
        <x:v>CUS_00100582</x:v>
      </x:c>
      <x:c r="C11" s="20" t="n">
        <x:v>45749.535416666666</x:v>
      </x:c>
      <x:c r="D11" s="17" t="str">
        <x:v>PL_STD_01</x:v>
      </x:c>
      <x:c r="E11" s="23" t="n">
        <x:v>35000</x:v>
      </x:c>
      <x:c r="F11" s="26" t="n">
        <x:v>6</x:v>
      </x:c>
      <x:c r="G11" s="17" t="str">
        <x:v>21-30</x:v>
      </x:c>
      <x:c r="H11" s="17" t="str">
        <x:v>SOUTH</x:v>
      </x:c>
      <x:c r="I11" s="17" t="str">
        <x:v>制造业职员</x:v>
      </x:c>
      <x:c r="J11" s="23" t="n">
        <x:v>15500</x:v>
      </x:c>
      <x:c r="K11" s="26" t="n">
        <x:v>3</x:v>
      </x:c>
      <x:c r="L11" s="17" t="str">
        <x:v>PARTNER</x:v>
      </x:c>
    </x:row>
    <x:row r="12">
      <x:c r="A12" s="17" t="str">
        <x:v>APP2025000008</x:v>
      </x:c>
      <x:c r="B12" s="17" t="str">
        <x:v>CUS_00100679</x:v>
      </x:c>
      <x:c r="C12" s="20" t="n">
        <x:v>45747.52777777778</x:v>
      </x:c>
      <x:c r="D12" s="17" t="str">
        <x:v>PL_STD_01</x:v>
      </x:c>
      <x:c r="E12" s="23" t="n">
        <x:v>28000</x:v>
      </x:c>
      <x:c r="F12" s="26" t="n">
        <x:v>24</x:v>
      </x:c>
      <x:c r="G12" s="17" t="str">
        <x:v>41-50</x:v>
      </x:c>
      <x:c r="H12" s="17" t="str">
        <x:v>NORTH</x:v>
      </x:c>
      <x:c r="I12" s="17" t="str">
        <x:v>零售从业者</x:v>
      </x:c>
      <x:c r="J12" s="23" t="n">
        <x:v>28600</x:v>
      </x:c>
      <x:c r="K12" s="26" t="n">
        <x:v>10</x:v>
      </x:c>
      <x:c r="L12" s="17" t="str">
        <x:v>PARTNER</x:v>
      </x:c>
    </x:row>
    <x:row r="13">
      <x:c r="A13" s="17" t="str">
        <x:v>APP2025000009</x:v>
      </x:c>
      <x:c r="B13" s="17" t="str">
        <x:v>CUS_00100776</x:v>
      </x:c>
      <x:c r="C13" s="20" t="n">
        <x:v>45754.48263888889</x:v>
      </x:c>
      <x:c r="D13" s="17" t="str">
        <x:v>PL_STD_01</x:v>
      </x:c>
      <x:c r="E13" s="23" t="n">
        <x:v>41000</x:v>
      </x:c>
      <x:c r="F13" s="26" t="n">
        <x:v>12</x:v>
      </x:c>
      <x:c r="G13" s="17" t="str">
        <x:v>51-60</x:v>
      </x:c>
      <x:c r="H13" s="17" t="str">
        <x:v>NORTH</x:v>
      </x:c>
      <x:c r="I13" s="17" t="str">
        <x:v>个体经营</x:v>
      </x:c>
      <x:c r="J13" s="23" t="n">
        <x:v>21500</x:v>
      </x:c>
      <x:c r="K13" s="26" t="n">
        <x:v>1</x:v>
      </x:c>
      <x:c r="L13" s="17" t="str">
        <x:v>PARTNER</x:v>
      </x:c>
    </x:row>
    <x:row r="14">
      <x:c r="A14" s="17" t="str">
        <x:v>APP2025000010</x:v>
      </x:c>
      <x:c r="B14" s="17" t="str">
        <x:v>CUS_00100873</x:v>
      </x:c>
      <x:c r="C14" s="20" t="n">
        <x:v>45675.646527777775</x:v>
      </x:c>
      <x:c r="D14" s="17" t="str">
        <x:v>PL_STD_01</x:v>
      </x:c>
      <x:c r="E14" s="23" t="n">
        <x:v>90000</x:v>
      </x:c>
      <x:c r="F14" s="26" t="n">
        <x:v>18</x:v>
      </x:c>
      <x:c r="G14" s="17" t="str">
        <x:v>31-40</x:v>
      </x:c>
      <x:c r="H14" s="17" t="str">
        <x:v>SOUTHWEST</x:v>
      </x:c>
      <x:c r="I14" s="17" t="str">
        <x:v>互联网职员</x:v>
      </x:c>
      <x:c r="J14" s="23" t="n">
        <x:v>27600</x:v>
      </x:c>
      <x:c r="K14" s="26" t="n">
        <x:v>12</x:v>
      </x:c>
      <x:c r="L14" s="17" t="str">
        <x:v>APP</x:v>
      </x:c>
    </x:row>
    <x:row r="15">
      <x:c r="A15" s="17" t="str">
        <x:v>APP2025000011</x:v>
      </x:c>
      <x:c r="B15" s="17" t="str">
        <x:v>CUS_00100970</x:v>
      </x:c>
      <x:c r="C15" s="20" t="n">
        <x:v>45746.538194444445</x:v>
      </x:c>
      <x:c r="D15" s="17" t="str">
        <x:v>PL_STD_01</x:v>
      </x:c>
      <x:c r="E15" s="23" t="n">
        <x:v>83000</x:v>
      </x:c>
      <x:c r="F15" s="26" t="n">
        <x:v>24</x:v>
      </x:c>
      <x:c r="G15" s="17" t="str">
        <x:v>21-30</x:v>
      </x:c>
      <x:c r="H15" s="17" t="str">
        <x:v>CENTRAL</x:v>
      </x:c>
      <x:c r="I15" s="17" t="str">
        <x:v>零售从业者</x:v>
      </x:c>
      <x:c r="J15" s="23" t="n">
        <x:v>10700</x:v>
      </x:c>
      <x:c r="K15" s="26" t="n">
        <x:v>2</x:v>
      </x:c>
      <x:c r="L15" s="17" t="str">
        <x:v>PARTNER</x:v>
      </x:c>
    </x:row>
    <x:row r="16">
      <x:c r="A16" s="17" t="str">
        <x:v>APP2025000012</x:v>
      </x:c>
      <x:c r="B16" s="17" t="str">
        <x:v>CUS_00101067</x:v>
      </x:c>
      <x:c r="C16" s="20" t="n">
        <x:v>45752.63680555556</x:v>
      </x:c>
      <x:c r="D16" s="17" t="str">
        <x:v>PL_STD_01</x:v>
      </x:c>
      <x:c r="E16" s="23" t="n">
        <x:v>31000</x:v>
      </x:c>
      <x:c r="F16" s="26" t="n">
        <x:v>18</x:v>
      </x:c>
      <x:c r="G16" s="17" t="str">
        <x:v>41-50</x:v>
      </x:c>
      <x:c r="H16" s="17" t="str">
        <x:v>SOUTHWEST</x:v>
      </x:c>
      <x:c r="I16" s="17" t="str">
        <x:v>制造业职员</x:v>
      </x:c>
      <x:c r="J16" s="23" t="n">
        <x:v>10400</x:v>
      </x:c>
      <x:c r="K16" s="26" t="n">
        <x:v>6</x:v>
      </x:c>
      <x:c r="L16" s="17" t="str">
        <x:v>PARTNER</x:v>
      </x:c>
    </x:row>
    <x:row r="17">
      <x:c r="A17" s="17" t="str">
        <x:v>APP2025000013</x:v>
      </x:c>
      <x:c r="B17" s="17" t="str">
        <x:v>CUS_00101164</x:v>
      </x:c>
      <x:c r="C17" s="20" t="n">
        <x:v>45824.618055555555</x:v>
      </x:c>
      <x:c r="D17" s="17" t="str">
        <x:v>PL_STD_01</x:v>
      </x:c>
      <x:c r="E17" s="23" t="n">
        <x:v>86000</x:v>
      </x:c>
      <x:c r="F17" s="26" t="n">
        <x:v>24</x:v>
      </x:c>
      <x:c r="G17" s="17" t="str">
        <x:v>31-40</x:v>
      </x:c>
      <x:c r="H17" s="17" t="str">
        <x:v>CENTRAL</x:v>
      </x:c>
      <x:c r="I17" s="17" t="str">
        <x:v>公共服务</x:v>
      </x:c>
      <x:c r="J17" s="23" t="n">
        <x:v>25900</x:v>
      </x:c>
      <x:c r="K17" s="26" t="n">
        <x:v>10</x:v>
      </x:c>
      <x:c r="L17" s="17" t="str">
        <x:v>PARTNER</x:v>
      </x:c>
    </x:row>
    <x:row r="18">
      <x:c r="A18" s="17" t="str">
        <x:v>APP2025000014</x:v>
      </x:c>
      <x:c r="B18" s="17" t="str">
        <x:v>CUS_00101261</x:v>
      </x:c>
      <x:c r="C18" s="20" t="n">
        <x:v>45722.67638888889</x:v>
      </x:c>
      <x:c r="D18" s="17" t="str">
        <x:v>PL_STD_01</x:v>
      </x:c>
      <x:c r="E18" s="23" t="n">
        <x:v>122000</x:v>
      </x:c>
      <x:c r="F18" s="26" t="n">
        <x:v>18</x:v>
      </x:c>
      <x:c r="G18" s="17" t="str">
        <x:v>51-60</x:v>
      </x:c>
      <x:c r="H18" s="17" t="str">
        <x:v>SOUTH</x:v>
      </x:c>
      <x:c r="I18" s="17" t="str">
        <x:v>制造业职员</x:v>
      </x:c>
      <x:c r="J18" s="23" t="n">
        <x:v>18000</x:v>
      </x:c>
      <x:c r="K18" s="26" t="n">
        <x:v>15</x:v>
      </x:c>
      <x:c r="L18" s="17" t="str">
        <x:v>PARTNER</x:v>
      </x:c>
    </x:row>
    <x:row r="19">
      <x:c r="A19" s="17" t="str">
        <x:v>APP2025000015</x:v>
      </x:c>
      <x:c r="B19" s="17" t="str">
        <x:v>CUS_00101358</x:v>
      </x:c>
      <x:c r="C19" s="20" t="n">
        <x:v>45737.55486111111</x:v>
      </x:c>
      <x:c r="D19" s="17" t="str">
        <x:v>PL_STD_01</x:v>
      </x:c>
      <x:c r="E19" s="23" t="n">
        <x:v>13000</x:v>
      </x:c>
      <x:c r="F19" s="26" t="n">
        <x:v>12</x:v>
      </x:c>
      <x:c r="G19" s="17" t="str">
        <x:v>21-30</x:v>
      </x:c>
      <x:c r="H19" s="17" t="str">
        <x:v>CENTRAL</x:v>
      </x:c>
      <x:c r="I19" s="17" t="str">
        <x:v>制造业职员</x:v>
      </x:c>
      <x:c r="J19" s="23" t="n">
        <x:v>23800</x:v>
      </x:c>
      <x:c r="K19" s="26" t="n">
        <x:v>2</x:v>
      </x:c>
      <x:c r="L19" s="17" t="str">
        <x:v>PARTNER</x:v>
      </x:c>
    </x:row>
    <x:row r="20">
      <x:c r="A20" s="17" t="str">
        <x:v>APP2025000016</x:v>
      </x:c>
      <x:c r="B20" s="17" t="str">
        <x:v>CUS_00101455</x:v>
      </x:c>
      <x:c r="C20" s="20" t="n">
        <x:v>45789.57847222222</x:v>
      </x:c>
      <x:c r="D20" s="17" t="str">
        <x:v>PL_STD_01</x:v>
      </x:c>
      <x:c r="E20" s="23" t="n">
        <x:v>57000</x:v>
      </x:c>
      <x:c r="F20" s="26" t="n">
        <x:v>24</x:v>
      </x:c>
      <x:c r="G20" s="17" t="str">
        <x:v>31-40</x:v>
      </x:c>
      <x:c r="H20" s="17" t="str">
        <x:v>EAST</x:v>
      </x:c>
      <x:c r="I20" s="17" t="str">
        <x:v>公共服务</x:v>
      </x:c>
      <x:c r="J20" s="23" t="n">
        <x:v>23700</x:v>
      </x:c>
      <x:c r="K20" s="26" t="n">
        <x:v>3</x:v>
      </x:c>
      <x:c r="L20" s="17" t="str">
        <x:v>WEB</x:v>
      </x:c>
    </x:row>
    <x:row r="21">
      <x:c r="A21" s="17" t="str">
        <x:v>APP2025000017</x:v>
      </x:c>
      <x:c r="B21" s="17" t="str">
        <x:v>CUS_00101552</x:v>
      </x:c>
      <x:c r="C21" s="20" t="n">
        <x:v>45738.41111111111</x:v>
      </x:c>
      <x:c r="D21" s="17" t="str">
        <x:v>PL_STD_01</x:v>
      </x:c>
      <x:c r="E21" s="23" t="n">
        <x:v>70000</x:v>
      </x:c>
      <x:c r="F21" s="26" t="n">
        <x:v>12</x:v>
      </x:c>
      <x:c r="G21" s="17" t="str">
        <x:v>41-50</x:v>
      </x:c>
      <x:c r="H21" s="17" t="str">
        <x:v>SOUTH</x:v>
      </x:c>
      <x:c r="I21" s="17" t="str">
        <x:v>物流从业者</x:v>
      </x:c>
      <x:c r="J21" s="23" t="n">
        <x:v>17000</x:v>
      </x:c>
      <x:c r="K21" s="26" t="n">
        <x:v>11</x:v>
      </x:c>
      <x:c r="L21" s="17" t="str">
        <x:v>PARTNER</x:v>
      </x:c>
    </x:row>
    <x:row r="22">
      <x:c r="A22" s="17" t="str">
        <x:v>APP2025000018</x:v>
      </x:c>
      <x:c r="B22" s="17" t="str">
        <x:v>CUS_00101649</x:v>
      </x:c>
      <x:c r="C22" s="20" t="n">
        <x:v>45704.40972222222</x:v>
      </x:c>
      <x:c r="D22" s="17" t="str">
        <x:v>PL_STD_01</x:v>
      </x:c>
      <x:c r="E22" s="23" t="n">
        <x:v>74000</x:v>
      </x:c>
      <x:c r="F22" s="26" t="n">
        <x:v>18</x:v>
      </x:c>
      <x:c r="G22" s="17" t="str">
        <x:v>31-40</x:v>
      </x:c>
      <x:c r="H22" s="17" t="str">
        <x:v>CENTRAL</x:v>
      </x:c>
      <x:c r="I22" s="17" t="str">
        <x:v>个体经营</x:v>
      </x:c>
      <x:c r="J22" s="23" t="n">
        <x:v>16700</x:v>
      </x:c>
      <x:c r="K22" s="26" t="n">
        <x:v>4</x:v>
      </x:c>
      <x:c r="L22" s="17" t="str">
        <x:v>WEB</x:v>
      </x:c>
    </x:row>
    <x:row r="23">
      <x:c r="A23" s="17" t="str">
        <x:v>APP2025000019</x:v>
      </x:c>
      <x:c r="B23" s="17" t="str">
        <x:v>CUS_00101746</x:v>
      </x:c>
      <x:c r="C23" s="20" t="n">
        <x:v>45784.51597222222</x:v>
      </x:c>
      <x:c r="D23" s="17" t="str">
        <x:v>PL_STD_01</x:v>
      </x:c>
      <x:c r="E23" s="23" t="n">
        <x:v>134000</x:v>
      </x:c>
      <x:c r="F23" s="26" t="n">
        <x:v>24</x:v>
      </x:c>
      <x:c r="G23" s="17" t="str">
        <x:v>31-40</x:v>
      </x:c>
      <x:c r="H23" s="17" t="str">
        <x:v>NORTH</x:v>
      </x:c>
      <x:c r="I23" s="17" t="str">
        <x:v>零售从业者</x:v>
      </x:c>
      <x:c r="J23" s="23" t="n">
        <x:v>22700</x:v>
      </x:c>
      <x:c r="K23" s="26" t="n">
        <x:v>9</x:v>
      </x:c>
      <x:c r="L23" s="17" t="str">
        <x:v>WEB</x:v>
      </x:c>
    </x:row>
    <x:row r="24">
      <x:c r="A24" s="17" t="str">
        <x:v>APP2025000020</x:v>
      </x:c>
      <x:c r="B24" s="17" t="str">
        <x:v>CUS_00101843</x:v>
      </x:c>
      <x:c r="C24" s="20" t="n">
        <x:v>45700.665972222225</x:v>
      </x:c>
      <x:c r="D24" s="17" t="str">
        <x:v>PL_STD_01</x:v>
      </x:c>
      <x:c r="E24" s="23" t="n">
        <x:v>83000</x:v>
      </x:c>
      <x:c r="F24" s="26" t="n">
        <x:v>12</x:v>
      </x:c>
      <x:c r="G24" s="17" t="str">
        <x:v>21-30</x:v>
      </x:c>
      <x:c r="H24" s="17" t="str">
        <x:v>SOUTHWEST</x:v>
      </x:c>
      <x:c r="I24" s="17" t="str">
        <x:v>物流从业者</x:v>
      </x:c>
      <x:c r="J24" s="23" t="n">
        <x:v>6400</x:v>
      </x:c>
      <x:c r="K24" s="26" t="n">
        <x:v>10</x:v>
      </x:c>
      <x:c r="L24" s="17" t="str">
        <x:v>WEB</x:v>
      </x:c>
    </x:row>
    <x:row r="25">
      <x:c r="A25" s="17" t="str">
        <x:v>APP2025000021</x:v>
      </x:c>
      <x:c r="B25" s="17" t="str">
        <x:v>CUS_00101940</x:v>
      </x:c>
      <x:c r="C25" s="20" t="n">
        <x:v>45821.51597222222</x:v>
      </x:c>
      <x:c r="D25" s="17" t="str">
        <x:v>PL_STD_01</x:v>
      </x:c>
      <x:c r="E25" s="23" t="n">
        <x:v>117000</x:v>
      </x:c>
      <x:c r="F25" s="26" t="n">
        <x:v>18</x:v>
      </x:c>
      <x:c r="G25" s="17" t="str">
        <x:v>51-60</x:v>
      </x:c>
      <x:c r="H25" s="17" t="str">
        <x:v>SOUTH</x:v>
      </x:c>
      <x:c r="I25" s="17" t="str">
        <x:v>制造业职员</x:v>
      </x:c>
      <x:c r="J25" s="23" t="n">
        <x:v>7200</x:v>
      </x:c>
      <x:c r="K25" s="26" t="n">
        <x:v>2</x:v>
      </x:c>
      <x:c r="L25" s="17" t="str">
        <x:v>APP</x:v>
      </x:c>
    </x:row>
    <x:row r="26">
      <x:c r="A26" s="17" t="str">
        <x:v>APP2025000022</x:v>
      </x:c>
      <x:c r="B26" s="17" t="str">
        <x:v>CUS_00102037</x:v>
      </x:c>
      <x:c r="C26" s="20" t="n">
        <x:v>45834.384722222225</x:v>
      </x:c>
      <x:c r="D26" s="17" t="str">
        <x:v>PL_STD_01</x:v>
      </x:c>
      <x:c r="E26" s="23" t="n">
        <x:v>115000</x:v>
      </x:c>
      <x:c r="F26" s="26" t="n">
        <x:v>18</x:v>
      </x:c>
      <x:c r="G26" s="17" t="str">
        <x:v>41-50</x:v>
      </x:c>
      <x:c r="H26" s="17" t="str">
        <x:v>NORTH</x:v>
      </x:c>
      <x:c r="I26" s="17" t="str">
        <x:v>个体经营</x:v>
      </x:c>
      <x:c r="J26" s="23" t="n">
        <x:v>20700</x:v>
      </x:c>
      <x:c r="K26" s="26" t="n">
        <x:v>13</x:v>
      </x:c>
      <x:c r="L26" s="17" t="str">
        <x:v>WEB</x:v>
      </x:c>
    </x:row>
    <x:row r="27">
      <x:c r="A27" s="17" t="str">
        <x:v>APP2025000023</x:v>
      </x:c>
      <x:c r="B27" s="17" t="str">
        <x:v>CUS_00102134</x:v>
      </x:c>
      <x:c r="C27" s="20" t="n">
        <x:v>45794.44236111111</x:v>
      </x:c>
      <x:c r="D27" s="17" t="str">
        <x:v>PL_STD_01</x:v>
      </x:c>
      <x:c r="E27" s="23" t="n">
        <x:v>130000</x:v>
      </x:c>
      <x:c r="F27" s="26" t="n">
        <x:v>12</x:v>
      </x:c>
      <x:c r="G27" s="17" t="str">
        <x:v>51-60</x:v>
      </x:c>
      <x:c r="H27" s="17" t="str">
        <x:v>EAST</x:v>
      </x:c>
      <x:c r="I27" s="17" t="str">
        <x:v>制造业职员</x:v>
      </x:c>
      <x:c r="J27" s="23" t="n">
        <x:v>13400</x:v>
      </x:c>
      <x:c r="K27" s="26" t="n">
        <x:v>0</x:v>
      </x:c>
      <x:c r="L27" s="17" t="str">
        <x:v>PARTNER</x:v>
      </x:c>
    </x:row>
    <x:row r="28">
      <x:c r="A28" s="17" t="str">
        <x:v>APP2025000024</x:v>
      </x:c>
      <x:c r="B28" s="17" t="str">
        <x:v>CUS_00102231</x:v>
      </x:c>
      <x:c r="C28" s="20" t="n">
        <x:v>45686.498611111114</x:v>
      </x:c>
      <x:c r="D28" s="17" t="str">
        <x:v>PL_STD_01</x:v>
      </x:c>
      <x:c r="E28" s="23" t="n">
        <x:v>133000</x:v>
      </x:c>
      <x:c r="F28" s="26" t="n">
        <x:v>36</x:v>
      </x:c>
      <x:c r="G28" s="17" t="str">
        <x:v>51-60</x:v>
      </x:c>
      <x:c r="H28" s="17" t="str">
        <x:v>CENTRAL</x:v>
      </x:c>
      <x:c r="I28" s="17" t="str">
        <x:v>制造业职员</x:v>
      </x:c>
      <x:c r="J28" s="23" t="n">
        <x:v>20100</x:v>
      </x:c>
      <x:c r="K28" s="26" t="n">
        <x:v>4</x:v>
      </x:c>
      <x:c r="L28" s="17" t="str">
        <x:v>PARTNER</x:v>
      </x:c>
    </x:row>
    <x:row r="29">
      <x:c r="A29" s="17" t="str">
        <x:v>APP2025000025</x:v>
      </x:c>
      <x:c r="B29" s="17" t="str">
        <x:v>CUS_00102328</x:v>
      </x:c>
      <x:c r="C29" s="20" t="n">
        <x:v>45733.646527777775</x:v>
      </x:c>
      <x:c r="D29" s="17" t="str">
        <x:v>PL_STD_01</x:v>
      </x:c>
      <x:c r="E29" s="23" t="n">
        <x:v>35000</x:v>
      </x:c>
      <x:c r="F29" s="26" t="n">
        <x:v>6</x:v>
      </x:c>
      <x:c r="G29" s="17" t="str">
        <x:v>31-40</x:v>
      </x:c>
      <x:c r="H29" s="17" t="str">
        <x:v>CENTRAL</x:v>
      </x:c>
      <x:c r="I29" s="17" t="str">
        <x:v>互联网职员</x:v>
      </x:c>
      <x:c r="J29" s="23" t="n">
        <x:v>29700</x:v>
      </x:c>
      <x:c r="K29" s="26" t="n">
        <x:v>3</x:v>
      </x:c>
      <x:c r="L29" s="17" t="str">
        <x:v>PARTNER</x:v>
      </x:c>
    </x:row>
    <x:row r="30">
      <x:c r="A30" s="17" t="str">
        <x:v>APP2025000026</x:v>
      </x:c>
      <x:c r="B30" s="17" t="str">
        <x:v>CUS_00102425</x:v>
      </x:c>
      <x:c r="C30" s="20" t="n">
        <x:v>45815.458333333336</x:v>
      </x:c>
      <x:c r="D30" s="17" t="str">
        <x:v>PL_STD_01</x:v>
      </x:c>
      <x:c r="E30" s="23" t="n">
        <x:v>21000</x:v>
      </x:c>
      <x:c r="F30" s="26" t="n">
        <x:v>12</x:v>
      </x:c>
      <x:c r="G30" s="17" t="str">
        <x:v>21-30</x:v>
      </x:c>
      <x:c r="H30" s="17" t="str">
        <x:v>SOUTH</x:v>
      </x:c>
      <x:c r="I30" s="17" t="str">
        <x:v>物流从业者</x:v>
      </x:c>
      <x:c r="J30" s="23" t="n">
        <x:v>14900</x:v>
      </x:c>
      <x:c r="K30" s="26" t="n">
        <x:v>0</x:v>
      </x:c>
      <x:c r="L30" s="17" t="str">
        <x:v>WEB</x:v>
      </x:c>
    </x:row>
    <x:row r="31">
      <x:c r="A31" s="17" t="str">
        <x:v>APP2025000027</x:v>
      </x:c>
      <x:c r="B31" s="17" t="str">
        <x:v>CUS_00102522</x:v>
      </x:c>
      <x:c r="C31" s="20" t="n">
        <x:v>45674.52916666667</x:v>
      </x:c>
      <x:c r="D31" s="17" t="str">
        <x:v>PL_STD_01</x:v>
      </x:c>
      <x:c r="E31" s="23" t="n">
        <x:v>62000</x:v>
      </x:c>
      <x:c r="F31" s="26" t="n">
        <x:v>12</x:v>
      </x:c>
      <x:c r="G31" s="17" t="str">
        <x:v>51-60</x:v>
      </x:c>
      <x:c r="H31" s="17" t="str">
        <x:v>EAST</x:v>
      </x:c>
      <x:c r="I31" s="17" t="str">
        <x:v>制造业职员</x:v>
      </x:c>
      <x:c r="J31" s="23" t="n">
        <x:v>20900</x:v>
      </x:c>
      <x:c r="K31" s="26" t="n">
        <x:v>7</x:v>
      </x:c>
      <x:c r="L31" s="17" t="str">
        <x:v>PARTNER</x:v>
      </x:c>
    </x:row>
    <x:row r="32">
      <x:c r="A32" s="17" t="str">
        <x:v>APP2025000028</x:v>
      </x:c>
      <x:c r="B32" s="17" t="str">
        <x:v>CUS_00102619</x:v>
      </x:c>
      <x:c r="C32" s="20" t="n">
        <x:v>45666.521527777775</x:v>
      </x:c>
      <x:c r="D32" s="17" t="str">
        <x:v>PL_STD_01</x:v>
      </x:c>
      <x:c r="E32" s="23" t="n">
        <x:v>108000</x:v>
      </x:c>
      <x:c r="F32" s="26" t="n">
        <x:v>6</x:v>
      </x:c>
      <x:c r="G32" s="17" t="str">
        <x:v>21-30</x:v>
      </x:c>
      <x:c r="H32" s="17" t="str">
        <x:v>NORTH</x:v>
      </x:c>
      <x:c r="I32" s="17" t="str">
        <x:v>互联网职员</x:v>
      </x:c>
      <x:c r="J32" s="23" t="n">
        <x:v>15700</x:v>
      </x:c>
      <x:c r="K32" s="26" t="n">
        <x:v>13</x:v>
      </x:c>
      <x:c r="L32" s="17" t="str">
        <x:v>WEB</x:v>
      </x:c>
    </x:row>
    <x:row r="33">
      <x:c r="A33" s="17" t="str">
        <x:v>APP2025000029</x:v>
      </x:c>
      <x:c r="B33" s="17" t="str">
        <x:v>CUS_00102716</x:v>
      </x:c>
      <x:c r="C33" s="20" t="n">
        <x:v>45713.50902777778</x:v>
      </x:c>
      <x:c r="D33" s="17" t="str">
        <x:v>PL_STD_01</x:v>
      </x:c>
      <x:c r="E33" s="23" t="n">
        <x:v>77000</x:v>
      </x:c>
      <x:c r="F33" s="26" t="n">
        <x:v>6</x:v>
      </x:c>
      <x:c r="G33" s="17" t="str">
        <x:v>41-50</x:v>
      </x:c>
      <x:c r="H33" s="17" t="str">
        <x:v>SOUTHWEST</x:v>
      </x:c>
      <x:c r="I33" s="17" t="str">
        <x:v>制造业职员</x:v>
      </x:c>
      <x:c r="J33" s="23" t="n">
        <x:v>18400</x:v>
      </x:c>
      <x:c r="K33" s="26" t="n">
        <x:v>12</x:v>
      </x:c>
      <x:c r="L33" s="17" t="str">
        <x:v>WEB</x:v>
      </x:c>
    </x:row>
    <x:row r="34">
      <x:c r="A34" s="17" t="str">
        <x:v>APP2025000030</x:v>
      </x:c>
      <x:c r="B34" s="17" t="str">
        <x:v>CUS_00102813</x:v>
      </x:c>
      <x:c r="C34" s="20" t="n">
        <x:v>45787.64027777778</x:v>
      </x:c>
      <x:c r="D34" s="17" t="str">
        <x:v>PL_STD_01</x:v>
      </x:c>
      <x:c r="E34" s="23" t="n">
        <x:v>99000</x:v>
      </x:c>
      <x:c r="F34" s="26" t="n">
        <x:v>18</x:v>
      </x:c>
      <x:c r="G34" s="17" t="str">
        <x:v>51-60</x:v>
      </x:c>
      <x:c r="H34" s="17" t="str">
        <x:v>SOUTHWEST</x:v>
      </x:c>
      <x:c r="I34" s="17" t="str">
        <x:v>公共服务</x:v>
      </x:c>
      <x:c r="J34" s="23" t="n">
        <x:v>16400</x:v>
      </x:c>
      <x:c r="K34" s="26" t="n">
        <x:v>5</x:v>
      </x:c>
      <x:c r="L34" s="17" t="str">
        <x:v>PARTNER</x:v>
      </x:c>
    </x:row>
    <x:row r="35">
      <x:c r="A35" s="17" t="str">
        <x:v>APP2025000031</x:v>
      </x:c>
      <x:c r="B35" s="17" t="str">
        <x:v>CUS_00102910</x:v>
      </x:c>
      <x:c r="C35" s="20" t="n">
        <x:v>45730.73055555556</x:v>
      </x:c>
      <x:c r="D35" s="17" t="str">
        <x:v>PL_STD_01</x:v>
      </x:c>
      <x:c r="E35" s="23" t="n">
        <x:v>119000</x:v>
      </x:c>
      <x:c r="F35" s="26" t="n">
        <x:v>12</x:v>
      </x:c>
      <x:c r="G35" s="17" t="str">
        <x:v>41-50</x:v>
      </x:c>
      <x:c r="H35" s="17" t="str">
        <x:v>SOUTH</x:v>
      </x:c>
      <x:c r="I35" s="17" t="str">
        <x:v>个体经营</x:v>
      </x:c>
      <x:c r="J35" s="23" t="n">
        <x:v>12000</x:v>
      </x:c>
      <x:c r="K35" s="26" t="n">
        <x:v>11</x:v>
      </x:c>
      <x:c r="L35" s="17" t="str">
        <x:v>PARTNER</x:v>
      </x:c>
    </x:row>
    <x:row r="36">
      <x:c r="A36" s="17" t="str">
        <x:v>APP2025000032</x:v>
      </x:c>
      <x:c r="B36" s="17" t="str">
        <x:v>CUS_00103007</x:v>
      </x:c>
      <x:c r="C36" s="20" t="n">
        <x:v>45805.45347222222</x:v>
      </x:c>
      <x:c r="D36" s="17" t="str">
        <x:v>PL_STD_01</x:v>
      </x:c>
      <x:c r="E36" s="23" t="n">
        <x:v>105000</x:v>
      </x:c>
      <x:c r="F36" s="26" t="n">
        <x:v>24</x:v>
      </x:c>
      <x:c r="G36" s="17" t="str">
        <x:v>41-50</x:v>
      </x:c>
      <x:c r="H36" s="17" t="str">
        <x:v>CENTRAL</x:v>
      </x:c>
      <x:c r="I36" s="17" t="str">
        <x:v>互联网职员</x:v>
      </x:c>
      <x:c r="J36" s="23" t="n">
        <x:v>10300</x:v>
      </x:c>
      <x:c r="K36" s="26" t="n">
        <x:v>1</x:v>
      </x:c>
      <x:c r="L36" s="17" t="str">
        <x:v>WEB</x:v>
      </x:c>
    </x:row>
    <x:row r="37">
      <x:c r="A37" s="17" t="str">
        <x:v>APP2025000033</x:v>
      </x:c>
      <x:c r="B37" s="17" t="str">
        <x:v>CUS_00103104</x:v>
      </x:c>
      <x:c r="C37" s="20" t="n">
        <x:v>45777.347916666666</x:v>
      </x:c>
      <x:c r="D37" s="17" t="str">
        <x:v>PL_STD_01</x:v>
      </x:c>
      <x:c r="E37" s="23" t="n">
        <x:v>46000</x:v>
      </x:c>
      <x:c r="F37" s="26" t="n">
        <x:v>6</x:v>
      </x:c>
      <x:c r="G37" s="17" t="str">
        <x:v>41-50</x:v>
      </x:c>
      <x:c r="H37" s="17" t="str">
        <x:v>EAST</x:v>
      </x:c>
      <x:c r="I37" s="17" t="str">
        <x:v>物流从业者</x:v>
      </x:c>
      <x:c r="J37" s="23" t="n">
        <x:v>17500</x:v>
      </x:c>
      <x:c r="K37" s="26" t="n">
        <x:v>10</x:v>
      </x:c>
      <x:c r="L37" s="17" t="str">
        <x:v>PARTNER</x:v>
      </x:c>
    </x:row>
    <x:row r="38">
      <x:c r="A38" s="17" t="str">
        <x:v>APP2025000034</x:v>
      </x:c>
      <x:c r="B38" s="17" t="str">
        <x:v>CUS_00103201</x:v>
      </x:c>
      <x:c r="C38" s="20" t="n">
        <x:v>45720.63680555556</x:v>
      </x:c>
      <x:c r="D38" s="17" t="str">
        <x:v>PL_STD_01</x:v>
      </x:c>
      <x:c r="E38" s="23" t="n">
        <x:v>72000</x:v>
      </x:c>
      <x:c r="F38" s="26" t="n">
        <x:v>18</x:v>
      </x:c>
      <x:c r="G38" s="17" t="str">
        <x:v>21-30</x:v>
      </x:c>
      <x:c r="H38" s="17" t="str">
        <x:v>SOUTH</x:v>
      </x:c>
      <x:c r="I38" s="17" t="str">
        <x:v>互联网职员</x:v>
      </x:c>
      <x:c r="J38" s="23" t="n">
        <x:v>18700</x:v>
      </x:c>
      <x:c r="K38" s="26" t="n">
        <x:v>2</x:v>
      </x:c>
      <x:c r="L38" s="17" t="str">
        <x:v>APP</x:v>
      </x:c>
    </x:row>
    <x:row r="39">
      <x:c r="A39" s="17" t="str">
        <x:v>APP2025000035</x:v>
      </x:c>
      <x:c r="B39" s="17" t="str">
        <x:v>CUS_00103298</x:v>
      </x:c>
      <x:c r="C39" s="20" t="n">
        <x:v>45757.64097222222</x:v>
      </x:c>
      <x:c r="D39" s="17" t="str">
        <x:v>PL_STD_01</x:v>
      </x:c>
      <x:c r="E39" s="23" t="n">
        <x:v>95000</x:v>
      </x:c>
      <x:c r="F39" s="26" t="n">
        <x:v>12</x:v>
      </x:c>
      <x:c r="G39" s="17" t="str">
        <x:v>51-60</x:v>
      </x:c>
      <x:c r="H39" s="17" t="str">
        <x:v>EAST</x:v>
      </x:c>
      <x:c r="I39" s="17" t="str">
        <x:v>互联网职员</x:v>
      </x:c>
      <x:c r="J39" s="23" t="n">
        <x:v>14600</x:v>
      </x:c>
      <x:c r="K39" s="26" t="n">
        <x:v>12</x:v>
      </x:c>
      <x:c r="L39" s="17" t="str">
        <x:v>PARTNER</x:v>
      </x:c>
    </x:row>
    <x:row r="40">
      <x:c r="A40" s="17" t="str">
        <x:v>APP2025000036</x:v>
      </x:c>
      <x:c r="B40" s="17" t="str">
        <x:v>CUS_00103395</x:v>
      </x:c>
      <x:c r="C40" s="20" t="n">
        <x:v>45698.384722222225</x:v>
      </x:c>
      <x:c r="D40" s="17" t="str">
        <x:v>PL_STD_01</x:v>
      </x:c>
      <x:c r="E40" s="23" t="n">
        <x:v>30000</x:v>
      </x:c>
      <x:c r="F40" s="26" t="n">
        <x:v>6</x:v>
      </x:c>
      <x:c r="G40" s="17" t="str">
        <x:v>51-60</x:v>
      </x:c>
      <x:c r="H40" s="17" t="str">
        <x:v>NORTH</x:v>
      </x:c>
      <x:c r="I40" s="17" t="str">
        <x:v>零售从业者</x:v>
      </x:c>
      <x:c r="J40" s="23" t="n">
        <x:v>27200</x:v>
      </x:c>
      <x:c r="K40" s="26" t="n">
        <x:v>7</x:v>
      </x:c>
      <x:c r="L40" s="17" t="str">
        <x:v>PARTNER</x:v>
      </x:c>
    </x:row>
    <x:row r="41">
      <x:c r="A41" s="17" t="str">
        <x:v>APP2025000037</x:v>
      </x:c>
      <x:c r="B41" s="17" t="str">
        <x:v>CUS_00103492</x:v>
      </x:c>
      <x:c r="C41" s="20" t="n">
        <x:v>45829.680555555555</x:v>
      </x:c>
      <x:c r="D41" s="17" t="str">
        <x:v>PL_STD_01</x:v>
      </x:c>
      <x:c r="E41" s="23" t="n">
        <x:v>118000</x:v>
      </x:c>
      <x:c r="F41" s="26" t="n">
        <x:v>12</x:v>
      </x:c>
      <x:c r="G41" s="17" t="str">
        <x:v>21-30</x:v>
      </x:c>
      <x:c r="H41" s="17" t="str">
        <x:v>SOUTHWEST</x:v>
      </x:c>
      <x:c r="I41" s="17" t="str">
        <x:v>制造业职员</x:v>
      </x:c>
      <x:c r="J41" s="23" t="n">
        <x:v>24400</x:v>
      </x:c>
      <x:c r="K41" s="26" t="n">
        <x:v>8</x:v>
      </x:c>
      <x:c r="L41" s="17" t="str">
        <x:v>WEB</x:v>
      </x:c>
    </x:row>
    <x:row r="42">
      <x:c r="A42" s="17" t="str">
        <x:v>APP2025000038</x:v>
      </x:c>
      <x:c r="B42" s="17" t="str">
        <x:v>CUS_00103589</x:v>
      </x:c>
      <x:c r="C42" s="20" t="n">
        <x:v>45823.74097222222</x:v>
      </x:c>
      <x:c r="D42" s="17" t="str">
        <x:v>PL_STD_01</x:v>
      </x:c>
      <x:c r="E42" s="23" t="n">
        <x:v>135000</x:v>
      </x:c>
      <x:c r="F42" s="26" t="n">
        <x:v>18</x:v>
      </x:c>
      <x:c r="G42" s="17" t="str">
        <x:v>41-50</x:v>
      </x:c>
      <x:c r="H42" s="17" t="str">
        <x:v>NORTH</x:v>
      </x:c>
      <x:c r="I42" s="17" t="str">
        <x:v>个体经营</x:v>
      </x:c>
      <x:c r="J42" s="23" t="n">
        <x:v>22900</x:v>
      </x:c>
      <x:c r="K42" s="26" t="n">
        <x:v>0</x:v>
      </x:c>
      <x:c r="L42" s="17" t="str">
        <x:v>PARTNER</x:v>
      </x:c>
    </x:row>
    <x:row r="43">
      <x:c r="A43" s="17" t="str">
        <x:v>APP2025000039</x:v>
      </x:c>
      <x:c r="B43" s="17" t="str">
        <x:v>CUS_00103686</x:v>
      </x:c>
      <x:c r="C43" s="20" t="n">
        <x:v>45742.53402777778</x:v>
      </x:c>
      <x:c r="D43" s="17" t="str">
        <x:v>PL_STD_01</x:v>
      </x:c>
      <x:c r="E43" s="23" t="n">
        <x:v>104000</x:v>
      </x:c>
      <x:c r="F43" s="26" t="n">
        <x:v>24</x:v>
      </x:c>
      <x:c r="G43" s="17" t="str">
        <x:v>31-40</x:v>
      </x:c>
      <x:c r="H43" s="17" t="str">
        <x:v>NORTH</x:v>
      </x:c>
      <x:c r="I43" s="17" t="str">
        <x:v>物流从业者</x:v>
      </x:c>
      <x:c r="J43" s="23" t="n">
        <x:v>22200</x:v>
      </x:c>
      <x:c r="K43" s="26" t="n">
        <x:v>15</x:v>
      </x:c>
      <x:c r="L43" s="17" t="str">
        <x:v>PARTNER</x:v>
      </x:c>
    </x:row>
    <x:row r="44">
      <x:c r="A44" s="17" t="str">
        <x:v>APP2025000040</x:v>
      </x:c>
      <x:c r="B44" s="17" t="str">
        <x:v>CUS_00103783</x:v>
      </x:c>
      <x:c r="C44" s="20" t="n">
        <x:v>45754.72430555556</x:v>
      </x:c>
      <x:c r="D44" s="17" t="str">
        <x:v>PL_STD_01</x:v>
      </x:c>
      <x:c r="E44" s="23" t="n">
        <x:v>79000</x:v>
      </x:c>
      <x:c r="F44" s="26" t="n">
        <x:v>24</x:v>
      </x:c>
      <x:c r="G44" s="17" t="str">
        <x:v>41-50</x:v>
      </x:c>
      <x:c r="H44" s="17" t="str">
        <x:v>EAST</x:v>
      </x:c>
      <x:c r="I44" s="17" t="str">
        <x:v>互联网职员</x:v>
      </x:c>
      <x:c r="J44" s="23" t="n">
        <x:v>14600</x:v>
      </x:c>
      <x:c r="K44" s="26" t="n">
        <x:v>15</x:v>
      </x:c>
      <x:c r="L44" s="17" t="str">
        <x:v>WEB</x:v>
      </x:c>
    </x:row>
    <x:row r="45">
      <x:c r="A45" s="17" t="str">
        <x:v>APP2025000041</x:v>
      </x:c>
      <x:c r="B45" s="17" t="str">
        <x:v>CUS_00103880</x:v>
      </x:c>
      <x:c r="C45" s="20" t="n">
        <x:v>45779.37777777778</x:v>
      </x:c>
      <x:c r="D45" s="17" t="str">
        <x:v>PL_STD_01</x:v>
      </x:c>
      <x:c r="E45" s="23" t="n">
        <x:v>47000</x:v>
      </x:c>
      <x:c r="F45" s="26" t="n">
        <x:v>24</x:v>
      </x:c>
      <x:c r="G45" s="17" t="str">
        <x:v>51-60</x:v>
      </x:c>
      <x:c r="H45" s="17" t="str">
        <x:v>CENTRAL</x:v>
      </x:c>
      <x:c r="I45" s="17" t="str">
        <x:v>公共服务</x:v>
      </x:c>
      <x:c r="J45" s="23" t="n">
        <x:v>22600</x:v>
      </x:c>
      <x:c r="K45" s="26" t="n">
        <x:v>3</x:v>
      </x:c>
      <x:c r="L45" s="17" t="str">
        <x:v>PARTNER</x:v>
      </x:c>
    </x:row>
    <x:row r="46">
      <x:c r="A46" s="17" t="str">
        <x:v>APP2025000042</x:v>
      </x:c>
      <x:c r="B46" s="17" t="str">
        <x:v>CUS_00103977</x:v>
      </x:c>
      <x:c r="C46" s="20" t="n">
        <x:v>45757.68541666667</x:v>
      </x:c>
      <x:c r="D46" s="17" t="str">
        <x:v>PL_STD_01</x:v>
      </x:c>
      <x:c r="E46" s="23" t="n">
        <x:v>104000</x:v>
      </x:c>
      <x:c r="F46" s="26" t="n">
        <x:v>36</x:v>
      </x:c>
      <x:c r="G46" s="17" t="str">
        <x:v>41-50</x:v>
      </x:c>
      <x:c r="H46" s="17" t="str">
        <x:v>EAST</x:v>
      </x:c>
      <x:c r="I46" s="17" t="str">
        <x:v>物流从业者</x:v>
      </x:c>
      <x:c r="J46" s="23" t="n">
        <x:v>16200</x:v>
      </x:c>
      <x:c r="K46" s="26" t="n">
        <x:v>8</x:v>
      </x:c>
      <x:c r="L46" s="17" t="str">
        <x:v>WEB</x:v>
      </x:c>
    </x:row>
    <x:row r="47">
      <x:c r="A47" s="17" t="str">
        <x:v>APP2025000043</x:v>
      </x:c>
      <x:c r="B47" s="17" t="str">
        <x:v>CUS_00104074</x:v>
      </x:c>
      <x:c r="C47" s="20" t="n">
        <x:v>45817.73472222222</x:v>
      </x:c>
      <x:c r="D47" s="17" t="str">
        <x:v>PL_STD_01</x:v>
      </x:c>
      <x:c r="E47" s="23" t="n">
        <x:v>17000</x:v>
      </x:c>
      <x:c r="F47" s="26" t="n">
        <x:v>6</x:v>
      </x:c>
      <x:c r="G47" s="17" t="str">
        <x:v>51-60</x:v>
      </x:c>
      <x:c r="H47" s="17" t="str">
        <x:v>EAST</x:v>
      </x:c>
      <x:c r="I47" s="17" t="str">
        <x:v>零售从业者</x:v>
      </x:c>
      <x:c r="J47" s="23" t="n">
        <x:v>27600</x:v>
      </x:c>
      <x:c r="K47" s="26" t="n">
        <x:v>9</x:v>
      </x:c>
      <x:c r="L47" s="17" t="str">
        <x:v>APP</x:v>
      </x:c>
    </x:row>
    <x:row r="48">
      <x:c r="A48" s="17" t="str">
        <x:v>APP2025000044</x:v>
      </x:c>
      <x:c r="B48" s="17" t="str">
        <x:v>CUS_00104171</x:v>
      </x:c>
      <x:c r="C48" s="20" t="n">
        <x:v>45703.46388888889</x:v>
      </x:c>
      <x:c r="D48" s="17" t="str">
        <x:v>PL_STD_01</x:v>
      </x:c>
      <x:c r="E48" s="23" t="n">
        <x:v>44000</x:v>
      </x:c>
      <x:c r="F48" s="26" t="n">
        <x:v>18</x:v>
      </x:c>
      <x:c r="G48" s="17" t="str">
        <x:v>31-40</x:v>
      </x:c>
      <x:c r="H48" s="17" t="str">
        <x:v>CENTRAL</x:v>
      </x:c>
      <x:c r="I48" s="17" t="str">
        <x:v>公共服务</x:v>
      </x:c>
      <x:c r="J48" s="23" t="n">
        <x:v>6300</x:v>
      </x:c>
      <x:c r="K48" s="26" t="n">
        <x:v>3</x:v>
      </x:c>
      <x:c r="L48" s="17" t="str">
        <x:v>PARTNER</x:v>
      </x:c>
    </x:row>
    <x:row r="49">
      <x:c r="A49" s="17" t="str">
        <x:v>APP2025000045</x:v>
      </x:c>
      <x:c r="B49" s="17" t="str">
        <x:v>CUS_00104268</x:v>
      </x:c>
      <x:c r="C49" s="20" t="n">
        <x:v>45693.44652777778</x:v>
      </x:c>
      <x:c r="D49" s="17" t="str">
        <x:v>PL_STD_01</x:v>
      </x:c>
      <x:c r="E49" s="23" t="n">
        <x:v>110000</x:v>
      </x:c>
      <x:c r="F49" s="26" t="n">
        <x:v>18</x:v>
      </x:c>
      <x:c r="G49" s="17" t="str">
        <x:v>31-40</x:v>
      </x:c>
      <x:c r="H49" s="17" t="str">
        <x:v>SOUTH</x:v>
      </x:c>
      <x:c r="I49" s="17" t="str">
        <x:v>制造业职员</x:v>
      </x:c>
      <x:c r="J49" s="23" t="n">
        <x:v>8800</x:v>
      </x:c>
      <x:c r="K49" s="26" t="n">
        <x:v>7</x:v>
      </x:c>
      <x:c r="L49" s="17" t="str">
        <x:v>APP</x:v>
      </x:c>
    </x:row>
    <x:row r="50">
      <x:c r="A50" s="17" t="str">
        <x:v>APP2025000046</x:v>
      </x:c>
      <x:c r="B50" s="17" t="str">
        <x:v>CUS_00104365</x:v>
      </x:c>
      <x:c r="C50" s="20" t="n">
        <x:v>45792.56875</x:v>
      </x:c>
      <x:c r="D50" s="17" t="str">
        <x:v>PL_STD_01</x:v>
      </x:c>
      <x:c r="E50" s="23" t="n">
        <x:v>72000</x:v>
      </x:c>
      <x:c r="F50" s="26" t="n">
        <x:v>24</x:v>
      </x:c>
      <x:c r="G50" s="17" t="str">
        <x:v>31-40</x:v>
      </x:c>
      <x:c r="H50" s="17" t="str">
        <x:v>CENTRAL</x:v>
      </x:c>
      <x:c r="I50" s="17" t="str">
        <x:v>物流从业者</x:v>
      </x:c>
      <x:c r="J50" s="23" t="n">
        <x:v>23700</x:v>
      </x:c>
      <x:c r="K50" s="26" t="n">
        <x:v>0</x:v>
      </x:c>
      <x:c r="L50" s="17" t="str">
        <x:v>PARTNER</x:v>
      </x:c>
    </x:row>
    <x:row r="51">
      <x:c r="A51" s="17" t="str">
        <x:v>APP2025000047</x:v>
      </x:c>
      <x:c r="B51" s="17" t="str">
        <x:v>CUS_00104462</x:v>
      </x:c>
      <x:c r="C51" s="20" t="n">
        <x:v>45794.62986111111</x:v>
      </x:c>
      <x:c r="D51" s="17" t="str">
        <x:v>PL_STD_01</x:v>
      </x:c>
      <x:c r="E51" s="23" t="n">
        <x:v>127000</x:v>
      </x:c>
      <x:c r="F51" s="26" t="n">
        <x:v>6</x:v>
      </x:c>
      <x:c r="G51" s="17" t="str">
        <x:v>41-50</x:v>
      </x:c>
      <x:c r="H51" s="17" t="str">
        <x:v>SOUTHWEST</x:v>
      </x:c>
      <x:c r="I51" s="17" t="str">
        <x:v>物流从业者</x:v>
      </x:c>
      <x:c r="J51" s="23" t="n">
        <x:v>12200</x:v>
      </x:c>
      <x:c r="K51" s="26" t="n">
        <x:v>8</x:v>
      </x:c>
      <x:c r="L51" s="17" t="str">
        <x:v>APP</x:v>
      </x:c>
    </x:row>
    <x:row r="52">
      <x:c r="A52" s="17" t="str">
        <x:v>APP2025000048</x:v>
      </x:c>
      <x:c r="B52" s="17" t="str">
        <x:v>CUS_00104559</x:v>
      </x:c>
      <x:c r="C52" s="20" t="n">
        <x:v>45836.42152777778</x:v>
      </x:c>
      <x:c r="D52" s="17" t="str">
        <x:v>PL_STD_01</x:v>
      </x:c>
      <x:c r="E52" s="23" t="n">
        <x:v>112000</x:v>
      </x:c>
      <x:c r="F52" s="26" t="n">
        <x:v>18</x:v>
      </x:c>
      <x:c r="G52" s="17" t="str">
        <x:v>21-30</x:v>
      </x:c>
      <x:c r="H52" s="17" t="str">
        <x:v>CENTRAL</x:v>
      </x:c>
      <x:c r="I52" s="17" t="str">
        <x:v>个体经营</x:v>
      </x:c>
      <x:c r="J52" s="23" t="n">
        <x:v>5500</x:v>
      </x:c>
      <x:c r="K52" s="26" t="n">
        <x:v>3</x:v>
      </x:c>
      <x:c r="L52" s="17" t="str">
        <x:v>WEB</x:v>
      </x:c>
    </x:row>
    <x:row r="53">
      <x:c r="A53" s="17" t="str">
        <x:v>APP2025000049</x:v>
      </x:c>
      <x:c r="B53" s="17" t="str">
        <x:v>CUS_00104656</x:v>
      </x:c>
      <x:c r="C53" s="20" t="n">
        <x:v>45693.63263888889</x:v>
      </x:c>
      <x:c r="D53" s="17" t="str">
        <x:v>PL_STD_01</x:v>
      </x:c>
      <x:c r="E53" s="23" t="n">
        <x:v>27000</x:v>
      </x:c>
      <x:c r="F53" s="26" t="n">
        <x:v>6</x:v>
      </x:c>
      <x:c r="G53" s="17" t="str">
        <x:v>41-50</x:v>
      </x:c>
      <x:c r="H53" s="17" t="str">
        <x:v>SOUTHWEST</x:v>
      </x:c>
      <x:c r="I53" s="17" t="str">
        <x:v>个体经营</x:v>
      </x:c>
      <x:c r="J53" s="23" t="n">
        <x:v>24900</x:v>
      </x:c>
      <x:c r="K53" s="26" t="n">
        <x:v>13</x:v>
      </x:c>
      <x:c r="L53" s="17" t="str">
        <x:v>APP</x:v>
      </x:c>
    </x:row>
    <x:row r="54">
      <x:c r="A54" s="17" t="str">
        <x:v>APP2025000050</x:v>
      </x:c>
      <x:c r="B54" s="17" t="str">
        <x:v>CUS_00104753</x:v>
      </x:c>
      <x:c r="C54" s="20" t="n">
        <x:v>45700.52847222222</x:v>
      </x:c>
      <x:c r="D54" s="17" t="str">
        <x:v>PL_STD_01</x:v>
      </x:c>
      <x:c r="E54" s="23" t="n">
        <x:v>108000</x:v>
      </x:c>
      <x:c r="F54" s="26" t="n">
        <x:v>36</x:v>
      </x:c>
      <x:c r="G54" s="17" t="str">
        <x:v>31-40</x:v>
      </x:c>
      <x:c r="H54" s="17" t="str">
        <x:v>SOUTHWEST</x:v>
      </x:c>
      <x:c r="I54" s="17" t="str">
        <x:v>零售从业者</x:v>
      </x:c>
      <x:c r="J54" s="23" t="n">
        <x:v>17000</x:v>
      </x:c>
      <x:c r="K54" s="26" t="n">
        <x:v>5</x:v>
      </x:c>
      <x:c r="L54" s="17" t="str">
        <x:v>APP</x:v>
      </x:c>
    </x:row>
    <x:row r="55">
      <x:c r="A55" s="17" t="str">
        <x:v>APP2025000051</x:v>
      </x:c>
      <x:c r="B55" s="17" t="str">
        <x:v>CUS_00104850</x:v>
      </x:c>
      <x:c r="C55" s="20" t="n">
        <x:v>45836.49097222222</x:v>
      </x:c>
      <x:c r="D55" s="17" t="str">
        <x:v>PL_STD_01</x:v>
      </x:c>
      <x:c r="E55" s="23" t="n">
        <x:v>142000</x:v>
      </x:c>
      <x:c r="F55" s="26" t="n">
        <x:v>6</x:v>
      </x:c>
      <x:c r="G55" s="17" t="str">
        <x:v>21-30</x:v>
      </x:c>
      <x:c r="H55" s="17" t="str">
        <x:v>EAST</x:v>
      </x:c>
      <x:c r="I55" s="17" t="str">
        <x:v>互联网职员</x:v>
      </x:c>
      <x:c r="J55" s="23" t="n">
        <x:v>9800</x:v>
      </x:c>
      <x:c r="K55" s="26" t="n">
        <x:v>13</x:v>
      </x:c>
      <x:c r="L55" s="17" t="str">
        <x:v>APP</x:v>
      </x:c>
    </x:row>
    <x:row r="56">
      <x:c r="A56" s="17" t="str">
        <x:v>APP2025000052</x:v>
      </x:c>
      <x:c r="B56" s="17" t="str">
        <x:v>CUS_00104947</x:v>
      </x:c>
      <x:c r="C56" s="20" t="n">
        <x:v>45659.43402777778</x:v>
      </x:c>
      <x:c r="D56" s="17" t="str">
        <x:v>PL_STD_01</x:v>
      </x:c>
      <x:c r="E56" s="23" t="n">
        <x:v>62000</x:v>
      </x:c>
      <x:c r="F56" s="26" t="n">
        <x:v>18</x:v>
      </x:c>
      <x:c r="G56" s="17" t="str">
        <x:v>31-40</x:v>
      </x:c>
      <x:c r="H56" s="17" t="str">
        <x:v>NORTH</x:v>
      </x:c>
      <x:c r="I56" s="17" t="str">
        <x:v>物流从业者</x:v>
      </x:c>
      <x:c r="J56" s="23" t="n">
        <x:v>17100</x:v>
      </x:c>
      <x:c r="K56" s="26" t="n">
        <x:v>11</x:v>
      </x:c>
      <x:c r="L56" s="17" t="str">
        <x:v>WEB</x:v>
      </x:c>
    </x:row>
    <x:row r="57">
      <x:c r="A57" s="17" t="str">
        <x:v>APP2025000053</x:v>
      </x:c>
      <x:c r="B57" s="17" t="str">
        <x:v>CUS_00105044</x:v>
      </x:c>
      <x:c r="C57" s="20" t="n">
        <x:v>45748.71041666667</x:v>
      </x:c>
      <x:c r="D57" s="17" t="str">
        <x:v>PL_STD_01</x:v>
      </x:c>
      <x:c r="E57" s="23" t="n">
        <x:v>64000</x:v>
      </x:c>
      <x:c r="F57" s="26" t="n">
        <x:v>6</x:v>
      </x:c>
      <x:c r="G57" s="17" t="str">
        <x:v>41-50</x:v>
      </x:c>
      <x:c r="H57" s="17" t="str">
        <x:v>CENTRAL</x:v>
      </x:c>
      <x:c r="I57" s="17" t="str">
        <x:v>制造业职员</x:v>
      </x:c>
      <x:c r="J57" s="23" t="n">
        <x:v>18400</x:v>
      </x:c>
      <x:c r="K57" s="26" t="n">
        <x:v>6</x:v>
      </x:c>
      <x:c r="L57" s="17" t="str">
        <x:v>APP</x:v>
      </x:c>
    </x:row>
    <x:row r="58">
      <x:c r="A58" s="17" t="str">
        <x:v>APP2025000054</x:v>
      </x:c>
      <x:c r="B58" s="17" t="str">
        <x:v>CUS_00105141</x:v>
      </x:c>
      <x:c r="C58" s="20" t="n">
        <x:v>45817.43125</x:v>
      </x:c>
      <x:c r="D58" s="17" t="str">
        <x:v>PL_STD_01</x:v>
      </x:c>
      <x:c r="E58" s="23" t="n">
        <x:v>104000</x:v>
      </x:c>
      <x:c r="F58" s="26" t="n">
        <x:v>24</x:v>
      </x:c>
      <x:c r="G58" s="17" t="str">
        <x:v>51-60</x:v>
      </x:c>
      <x:c r="H58" s="17" t="str">
        <x:v>SOUTHWEST</x:v>
      </x:c>
      <x:c r="I58" s="17" t="str">
        <x:v>物流从业者</x:v>
      </x:c>
      <x:c r="J58" s="23" t="n">
        <x:v>21500</x:v>
      </x:c>
      <x:c r="K58" s="26" t="n">
        <x:v>7</x:v>
      </x:c>
      <x:c r="L58" s="17" t="str">
        <x:v>PARTNER</x:v>
      </x:c>
    </x:row>
    <x:row r="59">
      <x:c r="A59" s="17" t="str">
        <x:v>APP2025000055</x:v>
      </x:c>
      <x:c r="B59" s="17" t="str">
        <x:v>CUS_00105238</x:v>
      </x:c>
      <x:c r="C59" s="20" t="n">
        <x:v>45722.5375</x:v>
      </x:c>
      <x:c r="D59" s="17" t="str">
        <x:v>PL_STD_01</x:v>
      </x:c>
      <x:c r="E59" s="23" t="n">
        <x:v>79000</x:v>
      </x:c>
      <x:c r="F59" s="26" t="n">
        <x:v>18</x:v>
      </x:c>
      <x:c r="G59" s="17" t="str">
        <x:v>31-40</x:v>
      </x:c>
      <x:c r="H59" s="17" t="str">
        <x:v>SOUTHWEST</x:v>
      </x:c>
      <x:c r="I59" s="17" t="str">
        <x:v>公共服务</x:v>
      </x:c>
      <x:c r="J59" s="23" t="n">
        <x:v>21500</x:v>
      </x:c>
      <x:c r="K59" s="26" t="n">
        <x:v>15</x:v>
      </x:c>
      <x:c r="L59" s="17" t="str">
        <x:v>APP</x:v>
      </x:c>
    </x:row>
    <x:row r="60">
      <x:c r="A60" s="17" t="str">
        <x:v>APP2025000056</x:v>
      </x:c>
      <x:c r="B60" s="17" t="str">
        <x:v>CUS_00105335</x:v>
      </x:c>
      <x:c r="C60" s="20" t="n">
        <x:v>45768.549305555556</x:v>
      </x:c>
      <x:c r="D60" s="17" t="str">
        <x:v>PL_STD_01</x:v>
      </x:c>
      <x:c r="E60" s="23" t="n">
        <x:v>127000</x:v>
      </x:c>
      <x:c r="F60" s="26" t="n">
        <x:v>12</x:v>
      </x:c>
      <x:c r="G60" s="17" t="str">
        <x:v>51-60</x:v>
      </x:c>
      <x:c r="H60" s="17" t="str">
        <x:v>EAST</x:v>
      </x:c>
      <x:c r="I60" s="17" t="str">
        <x:v>制造业职员</x:v>
      </x:c>
      <x:c r="J60" s="23" t="n">
        <x:v>6100</x:v>
      </x:c>
      <x:c r="K60" s="26" t="n">
        <x:v>5</x:v>
      </x:c>
      <x:c r="L60" s="17" t="str">
        <x:v>APP</x:v>
      </x:c>
    </x:row>
    <x:row r="61">
      <x:c r="A61" s="17" t="str">
        <x:v>APP2025000057</x:v>
      </x:c>
      <x:c r="B61" s="17" t="str">
        <x:v>CUS_00105432</x:v>
      </x:c>
      <x:c r="C61" s="20" t="n">
        <x:v>45769.63333333333</x:v>
      </x:c>
      <x:c r="D61" s="17" t="str">
        <x:v>PL_STD_01</x:v>
      </x:c>
      <x:c r="E61" s="23" t="n">
        <x:v>84000</x:v>
      </x:c>
      <x:c r="F61" s="26" t="n">
        <x:v>24</x:v>
      </x:c>
      <x:c r="G61" s="17" t="str">
        <x:v>41-50</x:v>
      </x:c>
      <x:c r="H61" s="17" t="str">
        <x:v>SOUTH</x:v>
      </x:c>
      <x:c r="I61" s="17" t="str">
        <x:v>制造业职员</x:v>
      </x:c>
      <x:c r="J61" s="23" t="n">
        <x:v>22400</x:v>
      </x:c>
      <x:c r="K61" s="26" t="n">
        <x:v>12</x:v>
      </x:c>
      <x:c r="L61" s="17" t="str">
        <x:v>APP</x:v>
      </x:c>
    </x:row>
    <x:row r="62">
      <x:c r="A62" s="17" t="str">
        <x:v>APP2025000058</x:v>
      </x:c>
      <x:c r="B62" s="17" t="str">
        <x:v>CUS_00105529</x:v>
      </x:c>
      <x:c r="C62" s="20" t="n">
        <x:v>45808.49652777778</x:v>
      </x:c>
      <x:c r="D62" s="17" t="str">
        <x:v>PL_STD_01</x:v>
      </x:c>
      <x:c r="E62" s="23" t="n">
        <x:v>149000</x:v>
      </x:c>
      <x:c r="F62" s="26" t="n">
        <x:v>6</x:v>
      </x:c>
      <x:c r="G62" s="17" t="str">
        <x:v>31-40</x:v>
      </x:c>
      <x:c r="H62" s="17" t="str">
        <x:v>SOUTHWEST</x:v>
      </x:c>
      <x:c r="I62" s="17" t="str">
        <x:v>物流从业者</x:v>
      </x:c>
      <x:c r="J62" s="23" t="n">
        <x:v>6800</x:v>
      </x:c>
      <x:c r="K62" s="26" t="n">
        <x:v>9</x:v>
      </x:c>
      <x:c r="L62" s="17" t="str">
        <x:v>APP</x:v>
      </x:c>
    </x:row>
    <x:row r="63">
      <x:c r="A63" s="17" t="str">
        <x:v>APP2025000059</x:v>
      </x:c>
      <x:c r="B63" s="17" t="str">
        <x:v>CUS_00105626</x:v>
      </x:c>
      <x:c r="C63" s="20" t="n">
        <x:v>45833.44097222222</x:v>
      </x:c>
      <x:c r="D63" s="17" t="str">
        <x:v>PL_STD_01</x:v>
      </x:c>
      <x:c r="E63" s="23" t="n">
        <x:v>76000</x:v>
      </x:c>
      <x:c r="F63" s="26" t="n">
        <x:v>6</x:v>
      </x:c>
      <x:c r="G63" s="17" t="str">
        <x:v>41-50</x:v>
      </x:c>
      <x:c r="H63" s="17" t="str">
        <x:v>EAST</x:v>
      </x:c>
      <x:c r="I63" s="17" t="str">
        <x:v>个体经营</x:v>
      </x:c>
      <x:c r="J63" s="23" t="n">
        <x:v>10900</x:v>
      </x:c>
      <x:c r="K63" s="26" t="n">
        <x:v>15</x:v>
      </x:c>
      <x:c r="L63" s="17" t="str">
        <x:v>PARTNER</x:v>
      </x:c>
    </x:row>
    <x:row r="64">
      <x:c r="A64" s="17" t="str">
        <x:v>APP2025000060</x:v>
      </x:c>
      <x:c r="B64" s="17" t="str">
        <x:v>CUS_00105723</x:v>
      </x:c>
      <x:c r="C64" s="20" t="n">
        <x:v>45759.50347222222</x:v>
      </x:c>
      <x:c r="D64" s="17" t="str">
        <x:v>PL_STD_01</x:v>
      </x:c>
      <x:c r="E64" s="23" t="n">
        <x:v>147000</x:v>
      </x:c>
      <x:c r="F64" s="26" t="n">
        <x:v>36</x:v>
      </x:c>
      <x:c r="G64" s="17" t="str">
        <x:v>51-60</x:v>
      </x:c>
      <x:c r="H64" s="17" t="str">
        <x:v>SOUTHWEST</x:v>
      </x:c>
      <x:c r="I64" s="17" t="str">
        <x:v>零售从业者</x:v>
      </x:c>
      <x:c r="J64" s="23" t="n">
        <x:v>5400</x:v>
      </x:c>
      <x:c r="K64" s="26" t="n">
        <x:v>15</x:v>
      </x:c>
      <x:c r="L64" s="17" t="str">
        <x:v>APP</x:v>
      </x:c>
    </x:row>
    <x:row r="65">
      <x:c r="A65" s="17" t="str">
        <x:v>APP2025000061</x:v>
      </x:c>
      <x:c r="B65" s="17" t="str">
        <x:v>CUS_00105820</x:v>
      </x:c>
      <x:c r="C65" s="20" t="n">
        <x:v>45747.66875</x:v>
      </x:c>
      <x:c r="D65" s="17" t="str">
        <x:v>PL_STD_01</x:v>
      </x:c>
      <x:c r="E65" s="23" t="n">
        <x:v>90000</x:v>
      </x:c>
      <x:c r="F65" s="26" t="n">
        <x:v>12</x:v>
      </x:c>
      <x:c r="G65" s="17" t="str">
        <x:v>21-30</x:v>
      </x:c>
      <x:c r="H65" s="17" t="str">
        <x:v>EAST</x:v>
      </x:c>
      <x:c r="I65" s="17" t="str">
        <x:v>公共服务</x:v>
      </x:c>
      <x:c r="J65" s="23" t="n">
        <x:v>19300</x:v>
      </x:c>
      <x:c r="K65" s="26" t="n">
        <x:v>15</x:v>
      </x:c>
      <x:c r="L65" s="17" t="str">
        <x:v>WEB</x:v>
      </x:c>
    </x:row>
    <x:row r="66">
      <x:c r="A66" s="17" t="str">
        <x:v>APP2025000062</x:v>
      </x:c>
      <x:c r="B66" s="17" t="str">
        <x:v>CUS_00105917</x:v>
      </x:c>
      <x:c r="C66" s="20" t="n">
        <x:v>45711.40694444445</x:v>
      </x:c>
      <x:c r="D66" s="17" t="str">
        <x:v>PL_STD_01</x:v>
      </x:c>
      <x:c r="E66" s="23" t="n">
        <x:v>143000</x:v>
      </x:c>
      <x:c r="F66" s="26" t="n">
        <x:v>36</x:v>
      </x:c>
      <x:c r="G66" s="17" t="str">
        <x:v>41-50</x:v>
      </x:c>
      <x:c r="H66" s="17" t="str">
        <x:v>SOUTH</x:v>
      </x:c>
      <x:c r="I66" s="17" t="str">
        <x:v>零售从业者</x:v>
      </x:c>
      <x:c r="J66" s="23" t="n">
        <x:v>8700</x:v>
      </x:c>
      <x:c r="K66" s="26" t="n">
        <x:v>8</x:v>
      </x:c>
      <x:c r="L66" s="17" t="str">
        <x:v>WEB</x:v>
      </x:c>
    </x:row>
    <x:row r="67">
      <x:c r="A67" s="17" t="str">
        <x:v>APP2025000063</x:v>
      </x:c>
      <x:c r="B67" s="17" t="str">
        <x:v>CUS_00106014</x:v>
      </x:c>
      <x:c r="C67" s="20" t="n">
        <x:v>45837.370833333334</x:v>
      </x:c>
      <x:c r="D67" s="17" t="str">
        <x:v>PL_STD_01</x:v>
      </x:c>
      <x:c r="E67" s="23" t="n">
        <x:v>13000</x:v>
      </x:c>
      <x:c r="F67" s="26" t="n">
        <x:v>36</x:v>
      </x:c>
      <x:c r="G67" s="17" t="str">
        <x:v>31-40</x:v>
      </x:c>
      <x:c r="H67" s="17" t="str">
        <x:v>EAST</x:v>
      </x:c>
      <x:c r="I67" s="17" t="str">
        <x:v>个体经营</x:v>
      </x:c>
      <x:c r="J67" s="23" t="n">
        <x:v>7900</x:v>
      </x:c>
      <x:c r="K67" s="26" t="n">
        <x:v>7</x:v>
      </x:c>
      <x:c r="L67" s="17" t="str">
        <x:v>WEB</x:v>
      </x:c>
    </x:row>
    <x:row r="68">
      <x:c r="A68" s="17" t="str">
        <x:v>APP2025000064</x:v>
      </x:c>
      <x:c r="B68" s="17" t="str">
        <x:v>CUS_00106111</x:v>
      </x:c>
      <x:c r="C68" s="20" t="n">
        <x:v>45782.61111111111</x:v>
      </x:c>
      <x:c r="D68" s="17" t="str">
        <x:v>PL_STD_01</x:v>
      </x:c>
      <x:c r="E68" s="23" t="n">
        <x:v>46000</x:v>
      </x:c>
      <x:c r="F68" s="26" t="n">
        <x:v>18</x:v>
      </x:c>
      <x:c r="G68" s="17" t="str">
        <x:v>41-50</x:v>
      </x:c>
      <x:c r="H68" s="17" t="str">
        <x:v>SOUTHWEST</x:v>
      </x:c>
      <x:c r="I68" s="17" t="str">
        <x:v>互联网职员</x:v>
      </x:c>
      <x:c r="J68" s="23" t="n">
        <x:v>25700</x:v>
      </x:c>
      <x:c r="K68" s="26" t="n">
        <x:v>6</x:v>
      </x:c>
      <x:c r="L68" s="17" t="str">
        <x:v>APP</x:v>
      </x:c>
    </x:row>
    <x:row r="69">
      <x:c r="A69" s="17" t="str">
        <x:v>APP2025000065</x:v>
      </x:c>
      <x:c r="B69" s="17" t="str">
        <x:v>CUS_00106208</x:v>
      </x:c>
      <x:c r="C69" s="20" t="n">
        <x:v>45721.55069444444</x:v>
      </x:c>
      <x:c r="D69" s="17" t="str">
        <x:v>PL_STD_01</x:v>
      </x:c>
      <x:c r="E69" s="23" t="n">
        <x:v>148000</x:v>
      </x:c>
      <x:c r="F69" s="26" t="n">
        <x:v>6</x:v>
      </x:c>
      <x:c r="G69" s="17" t="str">
        <x:v>31-40</x:v>
      </x:c>
      <x:c r="H69" s="17" t="str">
        <x:v>EAST</x:v>
      </x:c>
      <x:c r="I69" s="17" t="str">
        <x:v>互联网职员</x:v>
      </x:c>
      <x:c r="J69" s="23" t="n">
        <x:v>24500</x:v>
      </x:c>
      <x:c r="K69" s="26" t="n">
        <x:v>9</x:v>
      </x:c>
      <x:c r="L69" s="17" t="str">
        <x:v>WEB</x:v>
      </x:c>
    </x:row>
    <x:row r="70">
      <x:c r="A70" s="17" t="str">
        <x:v>APP2025000066</x:v>
      </x:c>
      <x:c r="B70" s="17" t="str">
        <x:v>CUS_00106305</x:v>
      </x:c>
      <x:c r="C70" s="20" t="n">
        <x:v>45804.458333333336</x:v>
      </x:c>
      <x:c r="D70" s="17" t="str">
        <x:v>PL_STD_01</x:v>
      </x:c>
      <x:c r="E70" s="23" t="n">
        <x:v>13000</x:v>
      </x:c>
      <x:c r="F70" s="26" t="n">
        <x:v>6</x:v>
      </x:c>
      <x:c r="G70" s="17" t="str">
        <x:v>31-40</x:v>
      </x:c>
      <x:c r="H70" s="17" t="str">
        <x:v>SOUTH</x:v>
      </x:c>
      <x:c r="I70" s="17" t="str">
        <x:v>公共服务</x:v>
      </x:c>
      <x:c r="J70" s="23" t="n">
        <x:v>8400</x:v>
      </x:c>
      <x:c r="K70" s="26" t="n">
        <x:v>5</x:v>
      </x:c>
      <x:c r="L70" s="17" t="str">
        <x:v>WEB</x:v>
      </x:c>
    </x:row>
    <x:row r="71">
      <x:c r="A71" s="17" t="str">
        <x:v>APP2025000067</x:v>
      </x:c>
      <x:c r="B71" s="17" t="str">
        <x:v>CUS_00106402</x:v>
      </x:c>
      <x:c r="C71" s="20" t="n">
        <x:v>45745.46875</x:v>
      </x:c>
      <x:c r="D71" s="17" t="str">
        <x:v>PL_STD_01</x:v>
      </x:c>
      <x:c r="E71" s="23" t="n">
        <x:v>106000</x:v>
      </x:c>
      <x:c r="F71" s="26" t="n">
        <x:v>6</x:v>
      </x:c>
      <x:c r="G71" s="17" t="str">
        <x:v>31-40</x:v>
      </x:c>
      <x:c r="H71" s="17" t="str">
        <x:v>SOUTHWEST</x:v>
      </x:c>
      <x:c r="I71" s="17" t="str">
        <x:v>零售从业者</x:v>
      </x:c>
      <x:c r="J71" s="23" t="n">
        <x:v>24500</x:v>
      </x:c>
      <x:c r="K71" s="26" t="n">
        <x:v>15</x:v>
      </x:c>
      <x:c r="L71" s="17" t="str">
        <x:v>APP</x:v>
      </x:c>
    </x:row>
    <x:row r="72">
      <x:c r="A72" s="17" t="str">
        <x:v>APP2025000068</x:v>
      </x:c>
      <x:c r="B72" s="17" t="str">
        <x:v>CUS_00106499</x:v>
      </x:c>
      <x:c r="C72" s="20" t="n">
        <x:v>45736.73125</x:v>
      </x:c>
      <x:c r="D72" s="17" t="str">
        <x:v>PL_STD_01</x:v>
      </x:c>
      <x:c r="E72" s="23" t="n">
        <x:v>59000</x:v>
      </x:c>
      <x:c r="F72" s="26" t="n">
        <x:v>36</x:v>
      </x:c>
      <x:c r="G72" s="17" t="str">
        <x:v>31-40</x:v>
      </x:c>
      <x:c r="H72" s="17" t="str">
        <x:v>EAST</x:v>
      </x:c>
      <x:c r="I72" s="17" t="str">
        <x:v>物流从业者</x:v>
      </x:c>
      <x:c r="J72" s="23" t="n">
        <x:v>12200</x:v>
      </x:c>
      <x:c r="K72" s="26" t="n">
        <x:v>13</x:v>
      </x:c>
      <x:c r="L72" s="17" t="str">
        <x:v>WEB</x:v>
      </x:c>
    </x:row>
    <x:row r="73">
      <x:c r="A73" s="17" t="str">
        <x:v>APP2025000069</x:v>
      </x:c>
      <x:c r="B73" s="17" t="str">
        <x:v>CUS_00106596</x:v>
      </x:c>
      <x:c r="C73" s="20" t="n">
        <x:v>45832.40972222222</x:v>
      </x:c>
      <x:c r="D73" s="17" t="str">
        <x:v>PL_STD_01</x:v>
      </x:c>
      <x:c r="E73" s="23" t="n">
        <x:v>78000</x:v>
      </x:c>
      <x:c r="F73" s="26" t="n">
        <x:v>36</x:v>
      </x:c>
      <x:c r="G73" s="17" t="str">
        <x:v>31-40</x:v>
      </x:c>
      <x:c r="H73" s="17" t="str">
        <x:v>CENTRAL</x:v>
      </x:c>
      <x:c r="I73" s="17" t="str">
        <x:v>零售从业者</x:v>
      </x:c>
      <x:c r="J73" s="23" t="n">
        <x:v>14800</x:v>
      </x:c>
      <x:c r="K73" s="26" t="n">
        <x:v>11</x:v>
      </x:c>
      <x:c r="L73" s="17" t="str">
        <x:v>PARTNER</x:v>
      </x:c>
    </x:row>
    <x:row r="74">
      <x:c r="A74" s="17" t="str">
        <x:v>APP2025000070</x:v>
      </x:c>
      <x:c r="B74" s="17" t="str">
        <x:v>CUS_00106693</x:v>
      </x:c>
      <x:c r="C74" s="20" t="n">
        <x:v>45673.63333333333</x:v>
      </x:c>
      <x:c r="D74" s="17" t="str">
        <x:v>PL_STD_01</x:v>
      </x:c>
      <x:c r="E74" s="23" t="n">
        <x:v>99000</x:v>
      </x:c>
      <x:c r="F74" s="26" t="n">
        <x:v>6</x:v>
      </x:c>
      <x:c r="G74" s="17" t="str">
        <x:v>41-50</x:v>
      </x:c>
      <x:c r="H74" s="17" t="str">
        <x:v>EAST</x:v>
      </x:c>
      <x:c r="I74" s="17" t="str">
        <x:v>公共服务</x:v>
      </x:c>
      <x:c r="J74" s="23" t="n">
        <x:v>14400</x:v>
      </x:c>
      <x:c r="K74" s="26" t="n">
        <x:v>13</x:v>
      </x:c>
      <x:c r="L74" s="17" t="str">
        <x:v>PARTNER</x:v>
      </x:c>
    </x:row>
    <x:row r="75">
      <x:c r="A75" s="17" t="str">
        <x:v>APP2025000071</x:v>
      </x:c>
      <x:c r="B75" s="17" t="str">
        <x:v>CUS_00106790</x:v>
      </x:c>
      <x:c r="C75" s="20" t="n">
        <x:v>45807.69375</x:v>
      </x:c>
      <x:c r="D75" s="17" t="str">
        <x:v>PL_STD_01</x:v>
      </x:c>
      <x:c r="E75" s="23" t="n">
        <x:v>48000</x:v>
      </x:c>
      <x:c r="F75" s="26" t="n">
        <x:v>12</x:v>
      </x:c>
      <x:c r="G75" s="17" t="str">
        <x:v>31-40</x:v>
      </x:c>
      <x:c r="H75" s="17" t="str">
        <x:v>SOUTHWEST</x:v>
      </x:c>
      <x:c r="I75" s="17" t="str">
        <x:v>零售从业者</x:v>
      </x:c>
      <x:c r="J75" s="23" t="n">
        <x:v>25100</x:v>
      </x:c>
      <x:c r="K75" s="26" t="n">
        <x:v>2</x:v>
      </x:c>
      <x:c r="L75" s="17" t="str">
        <x:v>PARTNER</x:v>
      </x:c>
    </x:row>
    <x:row r="76">
      <x:c r="A76" s="17" t="str">
        <x:v>APP2025000072</x:v>
      </x:c>
      <x:c r="B76" s="17" t="str">
        <x:v>CUS_00106887</x:v>
      </x:c>
      <x:c r="C76" s="20" t="n">
        <x:v>45695.67222222222</x:v>
      </x:c>
      <x:c r="D76" s="17" t="str">
        <x:v>PL_STD_01</x:v>
      </x:c>
      <x:c r="E76" s="23" t="n">
        <x:v>78000</x:v>
      </x:c>
      <x:c r="F76" s="26" t="n">
        <x:v>6</x:v>
      </x:c>
      <x:c r="G76" s="17" t="str">
        <x:v>41-50</x:v>
      </x:c>
      <x:c r="H76" s="17" t="str">
        <x:v>EAST</x:v>
      </x:c>
      <x:c r="I76" s="17" t="str">
        <x:v>零售从业者</x:v>
      </x:c>
      <x:c r="J76" s="23" t="n">
        <x:v>26600</x:v>
      </x:c>
      <x:c r="K76" s="26" t="n">
        <x:v>13</x:v>
      </x:c>
      <x:c r="L76" s="17" t="str">
        <x:v>PARTNER</x:v>
      </x:c>
    </x:row>
    <x:row r="77">
      <x:c r="A77" s="17" t="str">
        <x:v>APP2025000073</x:v>
      </x:c>
      <x:c r="B77" s="17" t="str">
        <x:v>CUS_00106984</x:v>
      </x:c>
      <x:c r="C77" s="20" t="n">
        <x:v>45668.354166666664</x:v>
      </x:c>
      <x:c r="D77" s="17" t="str">
        <x:v>PL_STD_01</x:v>
      </x:c>
      <x:c r="E77" s="23" t="n">
        <x:v>131000</x:v>
      </x:c>
      <x:c r="F77" s="26" t="n">
        <x:v>36</x:v>
      </x:c>
      <x:c r="G77" s="17" t="str">
        <x:v>21-30</x:v>
      </x:c>
      <x:c r="H77" s="17" t="str">
        <x:v>SOUTH</x:v>
      </x:c>
      <x:c r="I77" s="17" t="str">
        <x:v>制造业职员</x:v>
      </x:c>
      <x:c r="J77" s="23" t="n">
        <x:v>7600</x:v>
      </x:c>
      <x:c r="K77" s="26" t="n">
        <x:v>11</x:v>
      </x:c>
      <x:c r="L77" s="17" t="str">
        <x:v>PARTNER</x:v>
      </x:c>
    </x:row>
    <x:row r="78">
      <x:c r="A78" s="17" t="str">
        <x:v>APP2025000074</x:v>
      </x:c>
      <x:c r="B78" s="17" t="str">
        <x:v>CUS_00107081</x:v>
      </x:c>
      <x:c r="C78" s="20" t="n">
        <x:v>45722.691666666666</x:v>
      </x:c>
      <x:c r="D78" s="17" t="str">
        <x:v>PL_STD_01</x:v>
      </x:c>
      <x:c r="E78" s="23" t="n">
        <x:v>15000</x:v>
      </x:c>
      <x:c r="F78" s="26" t="n">
        <x:v>6</x:v>
      </x:c>
      <x:c r="G78" s="17" t="str">
        <x:v>41-50</x:v>
      </x:c>
      <x:c r="H78" s="17" t="str">
        <x:v>EAST</x:v>
      </x:c>
      <x:c r="I78" s="17" t="str">
        <x:v>个体经营</x:v>
      </x:c>
      <x:c r="J78" s="23" t="n">
        <x:v>29400</x:v>
      </x:c>
      <x:c r="K78" s="26" t="n">
        <x:v>7</x:v>
      </x:c>
      <x:c r="L78" s="17" t="str">
        <x:v>PARTNER</x:v>
      </x:c>
    </x:row>
    <x:row r="79">
      <x:c r="A79" s="17" t="str">
        <x:v>APP2025000075</x:v>
      </x:c>
      <x:c r="B79" s="17" t="str">
        <x:v>CUS_00107178</x:v>
      </x:c>
      <x:c r="C79" s="20" t="n">
        <x:v>45664.58611111111</x:v>
      </x:c>
      <x:c r="D79" s="17" t="str">
        <x:v>PL_STD_01</x:v>
      </x:c>
      <x:c r="E79" s="23" t="n">
        <x:v>62000</x:v>
      </x:c>
      <x:c r="F79" s="26" t="n">
        <x:v>36</x:v>
      </x:c>
      <x:c r="G79" s="17" t="str">
        <x:v>41-50</x:v>
      </x:c>
      <x:c r="H79" s="17" t="str">
        <x:v>CENTRAL</x:v>
      </x:c>
      <x:c r="I79" s="17" t="str">
        <x:v>制造业职员</x:v>
      </x:c>
      <x:c r="J79" s="23" t="n">
        <x:v>22500</x:v>
      </x:c>
      <x:c r="K79" s="26" t="n">
        <x:v>8</x:v>
      </x:c>
      <x:c r="L79" s="17" t="str">
        <x:v>PARTNER</x:v>
      </x:c>
    </x:row>
    <x:row r="80">
      <x:c r="A80" s="17" t="str">
        <x:v>APP2025000076</x:v>
      </x:c>
      <x:c r="B80" s="17" t="str">
        <x:v>CUS_00107275</x:v>
      </x:c>
      <x:c r="C80" s="20" t="n">
        <x:v>45765.663194444445</x:v>
      </x:c>
      <x:c r="D80" s="17" t="str">
        <x:v>PL_STD_01</x:v>
      </x:c>
      <x:c r="E80" s="23" t="n">
        <x:v>35000</x:v>
      </x:c>
      <x:c r="F80" s="26" t="n">
        <x:v>12</x:v>
      </x:c>
      <x:c r="G80" s="17" t="str">
        <x:v>21-30</x:v>
      </x:c>
      <x:c r="H80" s="17" t="str">
        <x:v>NORTH</x:v>
      </x:c>
      <x:c r="I80" s="17" t="str">
        <x:v>零售从业者</x:v>
      </x:c>
      <x:c r="J80" s="23" t="n">
        <x:v>14700</x:v>
      </x:c>
      <x:c r="K80" s="26" t="n">
        <x:v>6</x:v>
      </x:c>
      <x:c r="L80" s="17" t="str">
        <x:v>WEB</x:v>
      </x:c>
    </x:row>
    <x:row r="81">
      <x:c r="A81" s="17" t="str">
        <x:v>APP2025000077</x:v>
      </x:c>
      <x:c r="B81" s="17" t="str">
        <x:v>CUS_00107372</x:v>
      </x:c>
      <x:c r="C81" s="20" t="n">
        <x:v>45828.36875</x:v>
      </x:c>
      <x:c r="D81" s="17" t="str">
        <x:v>PL_STD_01</x:v>
      </x:c>
      <x:c r="E81" s="23" t="n">
        <x:v>80000</x:v>
      </x:c>
      <x:c r="F81" s="26" t="n">
        <x:v>12</x:v>
      </x:c>
      <x:c r="G81" s="17" t="str">
        <x:v>21-30</x:v>
      </x:c>
      <x:c r="H81" s="17" t="str">
        <x:v>SOUTHWEST</x:v>
      </x:c>
      <x:c r="I81" s="17" t="str">
        <x:v>制造业职员</x:v>
      </x:c>
      <x:c r="J81" s="23" t="n">
        <x:v>27100</x:v>
      </x:c>
      <x:c r="K81" s="26" t="n">
        <x:v>5</x:v>
      </x:c>
      <x:c r="L81" s="17" t="str">
        <x:v>WEB</x:v>
      </x:c>
    </x:row>
    <x:row r="82">
      <x:c r="A82" s="17" t="str">
        <x:v>APP2025000078</x:v>
      </x:c>
      <x:c r="B82" s="17" t="str">
        <x:v>CUS_00107469</x:v>
      </x:c>
      <x:c r="C82" s="20" t="n">
        <x:v>45704.43263888889</x:v>
      </x:c>
      <x:c r="D82" s="17" t="str">
        <x:v>PL_STD_01</x:v>
      </x:c>
      <x:c r="E82" s="23" t="n">
        <x:v>34000</x:v>
      </x:c>
      <x:c r="F82" s="26" t="n">
        <x:v>24</x:v>
      </x:c>
      <x:c r="G82" s="17" t="str">
        <x:v>21-30</x:v>
      </x:c>
      <x:c r="H82" s="17" t="str">
        <x:v>CENTRAL</x:v>
      </x:c>
      <x:c r="I82" s="17" t="str">
        <x:v>物流从业者</x:v>
      </x:c>
      <x:c r="J82" s="23" t="n">
        <x:v>11400</x:v>
      </x:c>
      <x:c r="K82" s="26" t="n">
        <x:v>2</x:v>
      </x:c>
      <x:c r="L82" s="17" t="str">
        <x:v>APP</x:v>
      </x:c>
    </x:row>
    <x:row r="83">
      <x:c r="A83" s="17" t="str">
        <x:v>APP2025000079</x:v>
      </x:c>
      <x:c r="B83" s="17" t="str">
        <x:v>CUS_00107566</x:v>
      </x:c>
      <x:c r="C83" s="20" t="n">
        <x:v>45770.37569444445</x:v>
      </x:c>
      <x:c r="D83" s="17" t="str">
        <x:v>PL_STD_01</x:v>
      </x:c>
      <x:c r="E83" s="23" t="n">
        <x:v>94000</x:v>
      </x:c>
      <x:c r="F83" s="26" t="n">
        <x:v>12</x:v>
      </x:c>
      <x:c r="G83" s="17" t="str">
        <x:v>21-30</x:v>
      </x:c>
      <x:c r="H83" s="17" t="str">
        <x:v>SOUTHWEST</x:v>
      </x:c>
      <x:c r="I83" s="17" t="str">
        <x:v>公共服务</x:v>
      </x:c>
      <x:c r="J83" s="23" t="n">
        <x:v>22700</x:v>
      </x:c>
      <x:c r="K83" s="26" t="n">
        <x:v>13</x:v>
      </x:c>
      <x:c r="L83" s="17" t="str">
        <x:v>WEB</x:v>
      </x:c>
    </x:row>
    <x:row r="84">
      <x:c r="A84" s="17" t="str">
        <x:v>APP2025000080</x:v>
      </x:c>
      <x:c r="B84" s="17" t="str">
        <x:v>CUS_00107663</x:v>
      </x:c>
      <x:c r="C84" s="20" t="n">
        <x:v>45797.61944444444</x:v>
      </x:c>
      <x:c r="D84" s="17" t="str">
        <x:v>PL_STD_01</x:v>
      </x:c>
      <x:c r="E84" s="23" t="n">
        <x:v>43000</x:v>
      </x:c>
      <x:c r="F84" s="26" t="n">
        <x:v>36</x:v>
      </x:c>
      <x:c r="G84" s="17" t="str">
        <x:v>41-50</x:v>
      </x:c>
      <x:c r="H84" s="17" t="str">
        <x:v>CENTRAL</x:v>
      </x:c>
      <x:c r="I84" s="17" t="str">
        <x:v>零售从业者</x:v>
      </x:c>
      <x:c r="J84" s="23" t="n">
        <x:v>14400</x:v>
      </x:c>
      <x:c r="K84" s="26" t="n">
        <x:v>2</x:v>
      </x:c>
      <x:c r="L84" s="17" t="str">
        <x:v>PARTNER</x:v>
      </x:c>
    </x:row>
    <x:row r="85">
      <x:c r="A85" s="17" t="str">
        <x:v>APP2025000081</x:v>
      </x:c>
      <x:c r="B85" s="17" t="str">
        <x:v>CUS_00107760</x:v>
      </x:c>
      <x:c r="C85" s="20" t="n">
        <x:v>45814.50069444445</x:v>
      </x:c>
      <x:c r="D85" s="17" t="str">
        <x:v>PL_STD_01</x:v>
      </x:c>
      <x:c r="E85" s="23" t="n">
        <x:v>82000</x:v>
      </x:c>
      <x:c r="F85" s="26" t="n">
        <x:v>12</x:v>
      </x:c>
      <x:c r="G85" s="17" t="str">
        <x:v>21-30</x:v>
      </x:c>
      <x:c r="H85" s="17" t="str">
        <x:v>NORTH</x:v>
      </x:c>
      <x:c r="I85" s="17" t="str">
        <x:v>互联网职员</x:v>
      </x:c>
      <x:c r="J85" s="23" t="n">
        <x:v>29200</x:v>
      </x:c>
      <x:c r="K85" s="26" t="n">
        <x:v>1</x:v>
      </x:c>
      <x:c r="L85" s="17" t="str">
        <x:v>WEB</x:v>
      </x:c>
    </x:row>
    <x:row r="86">
      <x:c r="A86" s="17" t="str">
        <x:v>APP2025000082</x:v>
      </x:c>
      <x:c r="B86" s="17" t="str">
        <x:v>CUS_00107857</x:v>
      </x:c>
      <x:c r="C86" s="20" t="n">
        <x:v>45788.53958333333</x:v>
      </x:c>
      <x:c r="D86" s="17" t="str">
        <x:v>PL_STD_01</x:v>
      </x:c>
      <x:c r="E86" s="23" t="n">
        <x:v>75000</x:v>
      </x:c>
      <x:c r="F86" s="26" t="n">
        <x:v>24</x:v>
      </x:c>
      <x:c r="G86" s="17" t="str">
        <x:v>31-40</x:v>
      </x:c>
      <x:c r="H86" s="17" t="str">
        <x:v>SOUTH</x:v>
      </x:c>
      <x:c r="I86" s="17" t="str">
        <x:v>互联网职员</x:v>
      </x:c>
      <x:c r="J86" s="23" t="n">
        <x:v>10200</x:v>
      </x:c>
      <x:c r="K86" s="26" t="n">
        <x:v>2</x:v>
      </x:c>
      <x:c r="L86" s="17" t="str">
        <x:v>APP</x:v>
      </x:c>
    </x:row>
    <x:row r="87">
      <x:c r="A87" s="17" t="str">
        <x:v>APP2025000083</x:v>
      </x:c>
      <x:c r="B87" s="17" t="str">
        <x:v>CUS_00107954</x:v>
      </x:c>
      <x:c r="C87" s="20" t="n">
        <x:v>45741.5</x:v>
      </x:c>
      <x:c r="D87" s="17" t="str">
        <x:v>PL_STD_01</x:v>
      </x:c>
      <x:c r="E87" s="23" t="n">
        <x:v>53000</x:v>
      </x:c>
      <x:c r="F87" s="26" t="n">
        <x:v>36</x:v>
      </x:c>
      <x:c r="G87" s="17" t="str">
        <x:v>21-30</x:v>
      </x:c>
      <x:c r="H87" s="17" t="str">
        <x:v>CENTRAL</x:v>
      </x:c>
      <x:c r="I87" s="17" t="str">
        <x:v>零售从业者</x:v>
      </x:c>
      <x:c r="J87" s="23" t="n">
        <x:v>4600</x:v>
      </x:c>
      <x:c r="K87" s="26" t="n">
        <x:v>15</x:v>
      </x:c>
      <x:c r="L87" s="17" t="str">
        <x:v>WEB</x:v>
      </x:c>
    </x:row>
    <x:row r="88">
      <x:c r="A88" s="17" t="str">
        <x:v>APP2025000084</x:v>
      </x:c>
      <x:c r="B88" s="17" t="str">
        <x:v>CUS_00108051</x:v>
      </x:c>
      <x:c r="C88" s="20" t="n">
        <x:v>45779.5875</x:v>
      </x:c>
      <x:c r="D88" s="17" t="str">
        <x:v>PL_STD_01</x:v>
      </x:c>
      <x:c r="E88" s="23" t="n">
        <x:v>73000</x:v>
      </x:c>
      <x:c r="F88" s="26" t="n">
        <x:v>36</x:v>
      </x:c>
      <x:c r="G88" s="17" t="str">
        <x:v>31-40</x:v>
      </x:c>
      <x:c r="H88" s="17" t="str">
        <x:v>EAST</x:v>
      </x:c>
      <x:c r="I88" s="17" t="str">
        <x:v>物流从业者</x:v>
      </x:c>
      <x:c r="J88" s="23" t="n">
        <x:v>12700</x:v>
      </x:c>
      <x:c r="K88" s="26" t="n">
        <x:v>12</x:v>
      </x:c>
      <x:c r="L88" s="17" t="str">
        <x:v>APP</x:v>
      </x:c>
    </x:row>
    <x:row r="89">
      <x:c r="A89" s="17" t="str">
        <x:v>APP2025000085</x:v>
      </x:c>
      <x:c r="B89" s="17" t="str">
        <x:v>CUS_00108148</x:v>
      </x:c>
      <x:c r="C89" s="20" t="n">
        <x:v>45837.43472222222</x:v>
      </x:c>
      <x:c r="D89" s="17" t="str">
        <x:v>PL_STD_01</x:v>
      </x:c>
      <x:c r="E89" s="23" t="n">
        <x:v>84000</x:v>
      </x:c>
      <x:c r="F89" s="26" t="n">
        <x:v>18</x:v>
      </x:c>
      <x:c r="G89" s="17" t="str">
        <x:v>21-30</x:v>
      </x:c>
      <x:c r="H89" s="17" t="str">
        <x:v>CENTRAL</x:v>
      </x:c>
      <x:c r="I89" s="17" t="str">
        <x:v>零售从业者</x:v>
      </x:c>
      <x:c r="J89" s="23" t="n">
        <x:v>11600</x:v>
      </x:c>
      <x:c r="K89" s="26" t="n">
        <x:v>7</x:v>
      </x:c>
      <x:c r="L89" s="17" t="str">
        <x:v>WEB</x:v>
      </x:c>
    </x:row>
    <x:row r="90">
      <x:c r="A90" s="17" t="str">
        <x:v>APP2025000086</x:v>
      </x:c>
      <x:c r="B90" s="17" t="str">
        <x:v>CUS_00108245</x:v>
      </x:c>
      <x:c r="C90" s="20" t="n">
        <x:v>45676.61388888889</x:v>
      </x:c>
      <x:c r="D90" s="17" t="str">
        <x:v>PL_STD_01</x:v>
      </x:c>
      <x:c r="E90" s="23" t="n">
        <x:v>122000</x:v>
      </x:c>
      <x:c r="F90" s="26" t="n">
        <x:v>6</x:v>
      </x:c>
      <x:c r="G90" s="17" t="str">
        <x:v>51-60</x:v>
      </x:c>
      <x:c r="H90" s="17" t="str">
        <x:v>CENTRAL</x:v>
      </x:c>
      <x:c r="I90" s="17" t="str">
        <x:v>互联网职员</x:v>
      </x:c>
      <x:c r="J90" s="23" t="n">
        <x:v>27900</x:v>
      </x:c>
      <x:c r="K90" s="26" t="n">
        <x:v>0</x:v>
      </x:c>
      <x:c r="L90" s="17" t="str">
        <x:v>PARTNER</x:v>
      </x:c>
    </x:row>
    <x:row r="91">
      <x:c r="A91" s="17" t="str">
        <x:v>APP2025000087</x:v>
      </x:c>
      <x:c r="B91" s="17" t="str">
        <x:v>CUS_00108342</x:v>
      </x:c>
      <x:c r="C91" s="20" t="n">
        <x:v>45752.41805555556</x:v>
      </x:c>
      <x:c r="D91" s="17" t="str">
        <x:v>PL_STD_01</x:v>
      </x:c>
      <x:c r="E91" s="23" t="n">
        <x:v>108000</x:v>
      </x:c>
      <x:c r="F91" s="26" t="n">
        <x:v>24</x:v>
      </x:c>
      <x:c r="G91" s="17" t="str">
        <x:v>21-30</x:v>
      </x:c>
      <x:c r="H91" s="17" t="str">
        <x:v>CENTRAL</x:v>
      </x:c>
      <x:c r="I91" s="17" t="str">
        <x:v>互联网职员</x:v>
      </x:c>
      <x:c r="J91" s="23" t="n">
        <x:v>23600</x:v>
      </x:c>
      <x:c r="K91" s="26" t="n">
        <x:v>11</x:v>
      </x:c>
      <x:c r="L91" s="17" t="str">
        <x:v>PARTNER</x:v>
      </x:c>
    </x:row>
    <x:row r="92">
      <x:c r="A92" s="17" t="str">
        <x:v>APP2025000088</x:v>
      </x:c>
      <x:c r="B92" s="17" t="str">
        <x:v>CUS_00108439</x:v>
      </x:c>
      <x:c r="C92" s="20" t="n">
        <x:v>45699.736805555556</x:v>
      </x:c>
      <x:c r="D92" s="17" t="str">
        <x:v>PL_STD_01</x:v>
      </x:c>
      <x:c r="E92" s="23" t="n">
        <x:v>25000</x:v>
      </x:c>
      <x:c r="F92" s="26" t="n">
        <x:v>12</x:v>
      </x:c>
      <x:c r="G92" s="17" t="str">
        <x:v>41-50</x:v>
      </x:c>
      <x:c r="H92" s="17" t="str">
        <x:v>EAST</x:v>
      </x:c>
      <x:c r="I92" s="17" t="str">
        <x:v>制造业职员</x:v>
      </x:c>
      <x:c r="J92" s="23" t="n">
        <x:v>12500</x:v>
      </x:c>
      <x:c r="K92" s="26" t="n">
        <x:v>8</x:v>
      </x:c>
      <x:c r="L92" s="17" t="str">
        <x:v>APP</x:v>
      </x:c>
    </x:row>
    <x:row r="93">
      <x:c r="A93" s="17" t="str">
        <x:v>APP2025000089</x:v>
      </x:c>
      <x:c r="B93" s="17" t="str">
        <x:v>CUS_00108536</x:v>
      </x:c>
      <x:c r="C93" s="20" t="n">
        <x:v>45798.46319444444</x:v>
      </x:c>
      <x:c r="D93" s="17" t="str">
        <x:v>PL_STD_01</x:v>
      </x:c>
      <x:c r="E93" s="23" t="n">
        <x:v>145000</x:v>
      </x:c>
      <x:c r="F93" s="26" t="n">
        <x:v>6</x:v>
      </x:c>
      <x:c r="G93" s="17" t="str">
        <x:v>31-40</x:v>
      </x:c>
      <x:c r="H93" s="17" t="str">
        <x:v>SOUTHWEST</x:v>
      </x:c>
      <x:c r="I93" s="17" t="str">
        <x:v>公共服务</x:v>
      </x:c>
      <x:c r="J93" s="23" t="n">
        <x:v>24800</x:v>
      </x:c>
      <x:c r="K93" s="26" t="n">
        <x:v>14</x:v>
      </x:c>
      <x:c r="L93" s="17" t="str">
        <x:v>WEB</x:v>
      </x:c>
    </x:row>
    <x:row r="94">
      <x:c r="A94" s="17" t="str">
        <x:v>APP2025000090</x:v>
      </x:c>
      <x:c r="B94" s="17" t="str">
        <x:v>CUS_00108633</x:v>
      </x:c>
      <x:c r="C94" s="20" t="n">
        <x:v>45726.675</x:v>
      </x:c>
      <x:c r="D94" s="17" t="str">
        <x:v>PL_STD_01</x:v>
      </x:c>
      <x:c r="E94" s="23" t="n">
        <x:v>82000</x:v>
      </x:c>
      <x:c r="F94" s="26" t="n">
        <x:v>18</x:v>
      </x:c>
      <x:c r="G94" s="17" t="str">
        <x:v>41-50</x:v>
      </x:c>
      <x:c r="H94" s="17" t="str">
        <x:v>NORTH</x:v>
      </x:c>
      <x:c r="I94" s="17" t="str">
        <x:v>公共服务</x:v>
      </x:c>
      <x:c r="J94" s="23" t="n">
        <x:v>26700</x:v>
      </x:c>
      <x:c r="K94" s="26" t="n">
        <x:v>15</x:v>
      </x:c>
      <x:c r="L94" s="17" t="str">
        <x:v>APP</x:v>
      </x:c>
    </x:row>
    <x:row r="95">
      <x:c r="A95" s="17" t="str">
        <x:v>APP2025000091</x:v>
      </x:c>
      <x:c r="B95" s="17" t="str">
        <x:v>CUS_00108730</x:v>
      </x:c>
      <x:c r="C95" s="20" t="n">
        <x:v>45793.58263888889</x:v>
      </x:c>
      <x:c r="D95" s="17" t="str">
        <x:v>PL_STD_01</x:v>
      </x:c>
      <x:c r="E95" s="23" t="n">
        <x:v>13000</x:v>
      </x:c>
      <x:c r="F95" s="26" t="n">
        <x:v>12</x:v>
      </x:c>
      <x:c r="G95" s="17" t="str">
        <x:v>21-30</x:v>
      </x:c>
      <x:c r="H95" s="17" t="str">
        <x:v>CENTRAL</x:v>
      </x:c>
      <x:c r="I95" s="17" t="str">
        <x:v>制造业职员</x:v>
      </x:c>
      <x:c r="J95" s="23" t="n">
        <x:v>8400</x:v>
      </x:c>
      <x:c r="K95" s="26" t="n">
        <x:v>11</x:v>
      </x:c>
      <x:c r="L95" s="17" t="str">
        <x:v>WEB</x:v>
      </x:c>
    </x:row>
    <x:row r="96">
      <x:c r="A96" s="17" t="str">
        <x:v>APP2025000092</x:v>
      </x:c>
      <x:c r="B96" s="17" t="str">
        <x:v>CUS_00108827</x:v>
      </x:c>
      <x:c r="C96" s="20" t="n">
        <x:v>45796.53125</x:v>
      </x:c>
      <x:c r="D96" s="17" t="str">
        <x:v>PL_STD_01</x:v>
      </x:c>
      <x:c r="E96" s="23" t="n">
        <x:v>48000</x:v>
      </x:c>
      <x:c r="F96" s="26" t="n">
        <x:v>6</x:v>
      </x:c>
      <x:c r="G96" s="17" t="str">
        <x:v>31-40</x:v>
      </x:c>
      <x:c r="H96" s="17" t="str">
        <x:v>SOUTHWEST</x:v>
      </x:c>
      <x:c r="I96" s="17" t="str">
        <x:v>制造业职员</x:v>
      </x:c>
      <x:c r="J96" s="23" t="n">
        <x:v>16500</x:v>
      </x:c>
      <x:c r="K96" s="26" t="n">
        <x:v>8</x:v>
      </x:c>
      <x:c r="L96" s="17" t="str">
        <x:v>PARTNER</x:v>
      </x:c>
    </x:row>
    <x:row r="97">
      <x:c r="A97" s="17" t="str">
        <x:v>APP2025000093</x:v>
      </x:c>
      <x:c r="B97" s="17" t="str">
        <x:v>CUS_00108924</x:v>
      </x:c>
      <x:c r="C97" s="20" t="n">
        <x:v>45712.47361111111</x:v>
      </x:c>
      <x:c r="D97" s="17" t="str">
        <x:v>PL_STD_01</x:v>
      </x:c>
      <x:c r="E97" s="23" t="n">
        <x:v>144000</x:v>
      </x:c>
      <x:c r="F97" s="26" t="n">
        <x:v>18</x:v>
      </x:c>
      <x:c r="G97" s="17" t="str">
        <x:v>51-60</x:v>
      </x:c>
      <x:c r="H97" s="17" t="str">
        <x:v>NORTH</x:v>
      </x:c>
      <x:c r="I97" s="17" t="str">
        <x:v>物流从业者</x:v>
      </x:c>
      <x:c r="J97" s="23" t="n">
        <x:v>12700</x:v>
      </x:c>
      <x:c r="K97" s="26" t="n">
        <x:v>7</x:v>
      </x:c>
      <x:c r="L97" s="17" t="str">
        <x:v>WEB</x:v>
      </x:c>
    </x:row>
    <x:row r="98">
      <x:c r="A98" s="17" t="str">
        <x:v>APP2025000094</x:v>
      </x:c>
      <x:c r="B98" s="17" t="str">
        <x:v>CUS_00109021</x:v>
      </x:c>
      <x:c r="C98" s="20" t="n">
        <x:v>45735.34861111111</x:v>
      </x:c>
      <x:c r="D98" s="17" t="str">
        <x:v>PL_STD_01</x:v>
      </x:c>
      <x:c r="E98" s="23" t="n">
        <x:v>143000</x:v>
      </x:c>
      <x:c r="F98" s="26" t="n">
        <x:v>18</x:v>
      </x:c>
      <x:c r="G98" s="17" t="str">
        <x:v>51-60</x:v>
      </x:c>
      <x:c r="H98" s="17" t="str">
        <x:v>SOUTH</x:v>
      </x:c>
      <x:c r="I98" s="17" t="str">
        <x:v>个体经营</x:v>
      </x:c>
      <x:c r="J98" s="23" t="n">
        <x:v>23800</x:v>
      </x:c>
      <x:c r="K98" s="26" t="n">
        <x:v>7</x:v>
      </x:c>
      <x:c r="L98" s="17" t="str">
        <x:v>APP</x:v>
      </x:c>
    </x:row>
    <x:row r="99">
      <x:c r="A99" s="17" t="str">
        <x:v>APP2025000095</x:v>
      </x:c>
      <x:c r="B99" s="17" t="str">
        <x:v>CUS_00109118</x:v>
      </x:c>
      <x:c r="C99" s="20" t="n">
        <x:v>45661.645833333336</x:v>
      </x:c>
      <x:c r="D99" s="17" t="str">
        <x:v>PL_STD_01</x:v>
      </x:c>
      <x:c r="E99" s="23" t="n">
        <x:v>10000</x:v>
      </x:c>
      <x:c r="F99" s="26" t="n">
        <x:v>24</x:v>
      </x:c>
      <x:c r="G99" s="17" t="str">
        <x:v>31-40</x:v>
      </x:c>
      <x:c r="H99" s="17" t="str">
        <x:v>CENTRAL</x:v>
      </x:c>
      <x:c r="I99" s="17" t="str">
        <x:v>制造业职员</x:v>
      </x:c>
      <x:c r="J99" s="23" t="n">
        <x:v>7400</x:v>
      </x:c>
      <x:c r="K99" s="26" t="n">
        <x:v>7</x:v>
      </x:c>
      <x:c r="L99" s="17" t="str">
        <x:v>PARTNER</x:v>
      </x:c>
    </x:row>
    <x:row r="100">
      <x:c r="A100" s="17" t="str">
        <x:v>APP2025000096</x:v>
      </x:c>
      <x:c r="B100" s="17" t="str">
        <x:v>CUS_00109215</x:v>
      </x:c>
      <x:c r="C100" s="20" t="n">
        <x:v>45827.49652777778</x:v>
      </x:c>
      <x:c r="D100" s="17" t="str">
        <x:v>PL_STD_01</x:v>
      </x:c>
      <x:c r="E100" s="23" t="n">
        <x:v>68000</x:v>
      </x:c>
      <x:c r="F100" s="26" t="n">
        <x:v>24</x:v>
      </x:c>
      <x:c r="G100" s="17" t="str">
        <x:v>51-60</x:v>
      </x:c>
      <x:c r="H100" s="17" t="str">
        <x:v>SOUTH</x:v>
      </x:c>
      <x:c r="I100" s="17" t="str">
        <x:v>物流从业者</x:v>
      </x:c>
      <x:c r="J100" s="23" t="n">
        <x:v>11700</x:v>
      </x:c>
      <x:c r="K100" s="26" t="n">
        <x:v>13</x:v>
      </x:c>
      <x:c r="L100" s="17" t="str">
        <x:v>PARTNER</x:v>
      </x:c>
    </x:row>
    <x:row r="101">
      <x:c r="A101" s="17" t="str">
        <x:v>APP2025000097</x:v>
      </x:c>
      <x:c r="B101" s="17" t="str">
        <x:v>CUS_00109312</x:v>
      </x:c>
      <x:c r="C101" s="20" t="n">
        <x:v>45677.745833333334</x:v>
      </x:c>
      <x:c r="D101" s="17" t="str">
        <x:v>PL_STD_01</x:v>
      </x:c>
      <x:c r="E101" s="23" t="n">
        <x:v>47000</x:v>
      </x:c>
      <x:c r="F101" s="26" t="n">
        <x:v>6</x:v>
      </x:c>
      <x:c r="G101" s="17" t="str">
        <x:v>31-40</x:v>
      </x:c>
      <x:c r="H101" s="17" t="str">
        <x:v>CENTRAL</x:v>
      </x:c>
      <x:c r="I101" s="17" t="str">
        <x:v>零售从业者</x:v>
      </x:c>
      <x:c r="J101" s="23" t="n">
        <x:v>14200</x:v>
      </x:c>
      <x:c r="K101" s="26" t="n">
        <x:v>7</x:v>
      </x:c>
      <x:c r="L101" s="17" t="str">
        <x:v>PARTNER</x:v>
      </x:c>
    </x:row>
    <x:row r="102">
      <x:c r="A102" s="17" t="str">
        <x:v>APP2025000098</x:v>
      </x:c>
      <x:c r="B102" s="17" t="str">
        <x:v>CUS_00109409</x:v>
      </x:c>
      <x:c r="C102" s="20" t="n">
        <x:v>45710.58472222222</x:v>
      </x:c>
      <x:c r="D102" s="17" t="str">
        <x:v>PL_STD_01</x:v>
      </x:c>
      <x:c r="E102" s="23" t="n">
        <x:v>62000</x:v>
      </x:c>
      <x:c r="F102" s="26" t="n">
        <x:v>36</x:v>
      </x:c>
      <x:c r="G102" s="17" t="str">
        <x:v>21-30</x:v>
      </x:c>
      <x:c r="H102" s="17" t="str">
        <x:v>SOUTH</x:v>
      </x:c>
      <x:c r="I102" s="17" t="str">
        <x:v>零售从业者</x:v>
      </x:c>
      <x:c r="J102" s="23" t="n">
        <x:v>28100</x:v>
      </x:c>
      <x:c r="K102" s="26" t="n">
        <x:v>13</x:v>
      </x:c>
      <x:c r="L102" s="17" t="str">
        <x:v>PARTNER</x:v>
      </x:c>
    </x:row>
    <x:row r="103">
      <x:c r="A103" s="17" t="str">
        <x:v>APP2025000099</x:v>
      </x:c>
      <x:c r="B103" s="17" t="str">
        <x:v>CUS_00109506</x:v>
      </x:c>
      <x:c r="C103" s="20" t="n">
        <x:v>45792.56458333333</x:v>
      </x:c>
      <x:c r="D103" s="17" t="str">
        <x:v>PL_STD_01</x:v>
      </x:c>
      <x:c r="E103" s="23" t="n">
        <x:v>67000</x:v>
      </x:c>
      <x:c r="F103" s="26" t="n">
        <x:v>18</x:v>
      </x:c>
      <x:c r="G103" s="17" t="str">
        <x:v>21-30</x:v>
      </x:c>
      <x:c r="H103" s="17" t="str">
        <x:v>CENTRAL</x:v>
      </x:c>
      <x:c r="I103" s="17" t="str">
        <x:v>制造业职员</x:v>
      </x:c>
      <x:c r="J103" s="23" t="n">
        <x:v>25200</x:v>
      </x:c>
      <x:c r="K103" s="26" t="n">
        <x:v>15</x:v>
      </x:c>
      <x:c r="L103" s="17" t="str">
        <x:v>PARTNER</x:v>
      </x:c>
    </x:row>
    <x:row r="104">
      <x:c r="A104" s="17" t="str">
        <x:v>APP2025000100</x:v>
      </x:c>
      <x:c r="B104" s="17" t="str">
        <x:v>CUS_00109603</x:v>
      </x:c>
      <x:c r="C104" s="20" t="n">
        <x:v>45683.73819444444</x:v>
      </x:c>
      <x:c r="D104" s="17" t="str">
        <x:v>PL_STD_01</x:v>
      </x:c>
      <x:c r="E104" s="23" t="n">
        <x:v>63000</x:v>
      </x:c>
      <x:c r="F104" s="26" t="n">
        <x:v>6</x:v>
      </x:c>
      <x:c r="G104" s="17" t="str">
        <x:v>31-40</x:v>
      </x:c>
      <x:c r="H104" s="17" t="str">
        <x:v>EAST</x:v>
      </x:c>
      <x:c r="I104" s="17" t="str">
        <x:v>个体经营</x:v>
      </x:c>
      <x:c r="J104" s="23" t="n">
        <x:v>15100</x:v>
      </x:c>
      <x:c r="K104" s="26" t="n">
        <x:v>10</x:v>
      </x:c>
      <x:c r="L104" s="17" t="str">
        <x:v>PARTNER</x:v>
      </x:c>
    </x:row>
    <x:row r="105">
      <x:c r="A105" s="17" t="str">
        <x:v>APP2025000101</x:v>
      </x:c>
      <x:c r="B105" s="17" t="str">
        <x:v>CUS_00109700</x:v>
      </x:c>
      <x:c r="C105" s="20" t="n">
        <x:v>45830.583333333336</x:v>
      </x:c>
      <x:c r="D105" s="17" t="str">
        <x:v>PL_STD_01</x:v>
      </x:c>
      <x:c r="E105" s="23" t="n">
        <x:v>52000</x:v>
      </x:c>
      <x:c r="F105" s="26" t="n">
        <x:v>18</x:v>
      </x:c>
      <x:c r="G105" s="17" t="str">
        <x:v>41-50</x:v>
      </x:c>
      <x:c r="H105" s="17" t="str">
        <x:v>EAST</x:v>
      </x:c>
      <x:c r="I105" s="17" t="str">
        <x:v>零售从业者</x:v>
      </x:c>
      <x:c r="J105" s="23" t="n">
        <x:v>9600</x:v>
      </x:c>
      <x:c r="K105" s="26" t="n">
        <x:v>5</x:v>
      </x:c>
      <x:c r="L105" s="17" t="str">
        <x:v>PARTNER</x:v>
      </x:c>
    </x:row>
    <x:row r="106">
      <x:c r="A106" s="17" t="str">
        <x:v>APP2025000102</x:v>
      </x:c>
      <x:c r="B106" s="17" t="str">
        <x:v>CUS_00109797</x:v>
      </x:c>
      <x:c r="C106" s="20" t="n">
        <x:v>45778.54236111111</x:v>
      </x:c>
      <x:c r="D106" s="17" t="str">
        <x:v>PL_STD_01</x:v>
      </x:c>
      <x:c r="E106" s="23" t="n">
        <x:v>15000</x:v>
      </x:c>
      <x:c r="F106" s="26" t="n">
        <x:v>36</x:v>
      </x:c>
      <x:c r="G106" s="17" t="str">
        <x:v>51-60</x:v>
      </x:c>
      <x:c r="H106" s="17" t="str">
        <x:v>NORTH</x:v>
      </x:c>
      <x:c r="I106" s="17" t="str">
        <x:v>公共服务</x:v>
      </x:c>
      <x:c r="J106" s="23" t="n">
        <x:v>18000</x:v>
      </x:c>
      <x:c r="K106" s="26" t="n">
        <x:v>8</x:v>
      </x:c>
      <x:c r="L106" s="17" t="str">
        <x:v>PARTNER</x:v>
      </x:c>
    </x:row>
    <x:row r="107">
      <x:c r="A107" s="17" t="str">
        <x:v>APP2025000103</x:v>
      </x:c>
      <x:c r="B107" s="17" t="str">
        <x:v>CUS_00109894</x:v>
      </x:c>
      <x:c r="C107" s="20" t="n">
        <x:v>45731.66805555556</x:v>
      </x:c>
      <x:c r="D107" s="17" t="str">
        <x:v>PL_STD_01</x:v>
      </x:c>
      <x:c r="E107" s="23" t="n">
        <x:v>112000</x:v>
      </x:c>
      <x:c r="F107" s="26" t="n">
        <x:v>12</x:v>
      </x:c>
      <x:c r="G107" s="17" t="str">
        <x:v>21-30</x:v>
      </x:c>
      <x:c r="H107" s="17" t="str">
        <x:v>SOUTHWEST</x:v>
      </x:c>
      <x:c r="I107" s="17" t="str">
        <x:v>公共服务</x:v>
      </x:c>
      <x:c r="J107" s="23" t="n">
        <x:v>28100</x:v>
      </x:c>
      <x:c r="K107" s="26" t="n">
        <x:v>5</x:v>
      </x:c>
      <x:c r="L107" s="17" t="str">
        <x:v>WEB</x:v>
      </x:c>
    </x:row>
    <x:row r="108">
      <x:c r="A108" s="17" t="str">
        <x:v>APP2025000104</x:v>
      </x:c>
      <x:c r="B108" s="17" t="str">
        <x:v>CUS_00109991</x:v>
      </x:c>
      <x:c r="C108" s="20" t="n">
        <x:v>45838.665972222225</x:v>
      </x:c>
      <x:c r="D108" s="17" t="str">
        <x:v>PL_STD_01</x:v>
      </x:c>
      <x:c r="E108" s="23" t="n">
        <x:v>73000</x:v>
      </x:c>
      <x:c r="F108" s="26" t="n">
        <x:v>36</x:v>
      </x:c>
      <x:c r="G108" s="17" t="str">
        <x:v>21-30</x:v>
      </x:c>
      <x:c r="H108" s="17" t="str">
        <x:v>NORTH</x:v>
      </x:c>
      <x:c r="I108" s="17" t="str">
        <x:v>零售从业者</x:v>
      </x:c>
      <x:c r="J108" s="23" t="n">
        <x:v>16200</x:v>
      </x:c>
      <x:c r="K108" s="26" t="n">
        <x:v>0</x:v>
      </x:c>
      <x:c r="L108" s="17" t="str">
        <x:v>WEB</x:v>
      </x:c>
    </x:row>
    <x:row r="109">
      <x:c r="A109" s="17" t="str">
        <x:v>APP2025000105</x:v>
      </x:c>
      <x:c r="B109" s="17" t="str">
        <x:v>CUS_00110088</x:v>
      </x:c>
      <x:c r="C109" s="20" t="n">
        <x:v>45683.40694444445</x:v>
      </x:c>
      <x:c r="D109" s="17" t="str">
        <x:v>PL_STD_01</x:v>
      </x:c>
      <x:c r="E109" s="23" t="n">
        <x:v>45000</x:v>
      </x:c>
      <x:c r="F109" s="26" t="n">
        <x:v>12</x:v>
      </x:c>
      <x:c r="G109" s="17" t="str">
        <x:v>31-40</x:v>
      </x:c>
      <x:c r="H109" s="17" t="str">
        <x:v>SOUTHWEST</x:v>
      </x:c>
      <x:c r="I109" s="17" t="str">
        <x:v>个体经营</x:v>
      </x:c>
      <x:c r="J109" s="23" t="n">
        <x:v>11500</x:v>
      </x:c>
      <x:c r="K109" s="26" t="n">
        <x:v>7</x:v>
      </x:c>
      <x:c r="L109" s="17" t="str">
        <x:v>PARTNER</x:v>
      </x:c>
    </x:row>
    <x:row r="110">
      <x:c r="A110" s="17" t="str">
        <x:v>APP2025000106</x:v>
      </x:c>
      <x:c r="B110" s="17" t="str">
        <x:v>CUS_00110185</x:v>
      </x:c>
      <x:c r="C110" s="20" t="n">
        <x:v>45759.686111111114</x:v>
      </x:c>
      <x:c r="D110" s="17" t="str">
        <x:v>PL_STD_01</x:v>
      </x:c>
      <x:c r="E110" s="23" t="n">
        <x:v>54000</x:v>
      </x:c>
      <x:c r="F110" s="26" t="n">
        <x:v>6</x:v>
      </x:c>
      <x:c r="G110" s="17" t="str">
        <x:v>21-30</x:v>
      </x:c>
      <x:c r="H110" s="17" t="str">
        <x:v>EAST</x:v>
      </x:c>
      <x:c r="I110" s="17" t="str">
        <x:v>零售从业者</x:v>
      </x:c>
      <x:c r="J110" s="23" t="n">
        <x:v>6500</x:v>
      </x:c>
      <x:c r="K110" s="26" t="n">
        <x:v>6</x:v>
      </x:c>
      <x:c r="L110" s="17" t="str">
        <x:v>APP</x:v>
      </x:c>
    </x:row>
    <x:row r="111">
      <x:c r="A111" s="17" t="str">
        <x:v>APP2025000107</x:v>
      </x:c>
      <x:c r="B111" s="17" t="str">
        <x:v>CUS_00110282</x:v>
      </x:c>
      <x:c r="C111" s="20" t="n">
        <x:v>45783.40416666667</x:v>
      </x:c>
      <x:c r="D111" s="17" t="str">
        <x:v>PL_STD_01</x:v>
      </x:c>
      <x:c r="E111" s="23" t="n">
        <x:v>126000</x:v>
      </x:c>
      <x:c r="F111" s="26" t="n">
        <x:v>24</x:v>
      </x:c>
      <x:c r="G111" s="17" t="str">
        <x:v>41-50</x:v>
      </x:c>
      <x:c r="H111" s="17" t="str">
        <x:v>CENTRAL</x:v>
      </x:c>
      <x:c r="I111" s="17" t="str">
        <x:v>互联网职员</x:v>
      </x:c>
      <x:c r="J111" s="23" t="n">
        <x:v>27700</x:v>
      </x:c>
      <x:c r="K111" s="26" t="n">
        <x:v>7</x:v>
      </x:c>
      <x:c r="L111" s="17" t="str">
        <x:v>APP</x:v>
      </x:c>
    </x:row>
    <x:row r="112">
      <x:c r="A112" s="17" t="str">
        <x:v>APP2025000108</x:v>
      </x:c>
      <x:c r="B112" s="17" t="str">
        <x:v>CUS_00110379</x:v>
      </x:c>
      <x:c r="C112" s="20" t="n">
        <x:v>45741.458333333336</x:v>
      </x:c>
      <x:c r="D112" s="17" t="str">
        <x:v>PL_STD_01</x:v>
      </x:c>
      <x:c r="E112" s="23" t="n">
        <x:v>135000</x:v>
      </x:c>
      <x:c r="F112" s="26" t="n">
        <x:v>36</x:v>
      </x:c>
      <x:c r="G112" s="17" t="str">
        <x:v>31-40</x:v>
      </x:c>
      <x:c r="H112" s="17" t="str">
        <x:v>SOUTHWEST</x:v>
      </x:c>
      <x:c r="I112" s="17" t="str">
        <x:v>个体经营</x:v>
      </x:c>
      <x:c r="J112" s="23" t="n">
        <x:v>21200</x:v>
      </x:c>
      <x:c r="K112" s="26" t="n">
        <x:v>14</x:v>
      </x:c>
      <x:c r="L112" s="17" t="str">
        <x:v>PARTNER</x:v>
      </x:c>
    </x:row>
    <x:row r="113">
      <x:c r="A113" s="17" t="str">
        <x:v>APP2025000109</x:v>
      </x:c>
      <x:c r="B113" s="17" t="str">
        <x:v>CUS_00110476</x:v>
      </x:c>
      <x:c r="C113" s="20" t="n">
        <x:v>45738.660416666666</x:v>
      </x:c>
      <x:c r="D113" s="17" t="str">
        <x:v>PL_STD_01</x:v>
      </x:c>
      <x:c r="E113" s="23" t="n">
        <x:v>94000</x:v>
      </x:c>
      <x:c r="F113" s="26" t="n">
        <x:v>36</x:v>
      </x:c>
      <x:c r="G113" s="17" t="str">
        <x:v>41-50</x:v>
      </x:c>
      <x:c r="H113" s="17" t="str">
        <x:v>SOUTHWEST</x:v>
      </x:c>
      <x:c r="I113" s="17" t="str">
        <x:v>制造业职员</x:v>
      </x:c>
      <x:c r="J113" s="23" t="n">
        <x:v>10400</x:v>
      </x:c>
      <x:c r="K113" s="26" t="n">
        <x:v>15</x:v>
      </x:c>
      <x:c r="L113" s="17" t="str">
        <x:v>APP</x:v>
      </x:c>
    </x:row>
    <x:row r="114">
      <x:c r="A114" s="17" t="str">
        <x:v>APP2025000110</x:v>
      </x:c>
      <x:c r="B114" s="17" t="str">
        <x:v>CUS_00110573</x:v>
      </x:c>
      <x:c r="C114" s="20" t="n">
        <x:v>45679.73888888889</x:v>
      </x:c>
      <x:c r="D114" s="17" t="str">
        <x:v>PL_STD_01</x:v>
      </x:c>
      <x:c r="E114" s="23" t="n">
        <x:v>69000</x:v>
      </x:c>
      <x:c r="F114" s="26" t="n">
        <x:v>12</x:v>
      </x:c>
      <x:c r="G114" s="17" t="str">
        <x:v>51-60</x:v>
      </x:c>
      <x:c r="H114" s="17" t="str">
        <x:v>SOUTHWEST</x:v>
      </x:c>
      <x:c r="I114" s="17" t="str">
        <x:v>公共服务</x:v>
      </x:c>
      <x:c r="J114" s="23" t="n">
        <x:v>11500</x:v>
      </x:c>
      <x:c r="K114" s="26" t="n">
        <x:v>10</x:v>
      </x:c>
      <x:c r="L114" s="17" t="str">
        <x:v>WEB</x:v>
      </x:c>
    </x:row>
    <x:row r="115">
      <x:c r="A115" s="17" t="str">
        <x:v>APP2025000111</x:v>
      </x:c>
      <x:c r="B115" s="17" t="str">
        <x:v>CUS_00110670</x:v>
      </x:c>
      <x:c r="C115" s="20" t="n">
        <x:v>45747.35833333333</x:v>
      </x:c>
      <x:c r="D115" s="17" t="str">
        <x:v>PL_STD_01</x:v>
      </x:c>
      <x:c r="E115" s="23" t="n">
        <x:v>62000</x:v>
      </x:c>
      <x:c r="F115" s="26" t="n">
        <x:v>12</x:v>
      </x:c>
      <x:c r="G115" s="17" t="str">
        <x:v>31-40</x:v>
      </x:c>
      <x:c r="H115" s="17" t="str">
        <x:v>CENTRAL</x:v>
      </x:c>
      <x:c r="I115" s="17" t="str">
        <x:v>互联网职员</x:v>
      </x:c>
      <x:c r="J115" s="23" t="n">
        <x:v>22600</x:v>
      </x:c>
      <x:c r="K115" s="26" t="n">
        <x:v>13</x:v>
      </x:c>
      <x:c r="L115" s="17" t="str">
        <x:v>PARTNER</x:v>
      </x:c>
    </x:row>
    <x:row r="116">
      <x:c r="A116" s="17" t="str">
        <x:v>APP2025000112</x:v>
      </x:c>
      <x:c r="B116" s="17" t="str">
        <x:v>CUS_00110767</x:v>
      </x:c>
      <x:c r="C116" s="20" t="n">
        <x:v>45684.48333333333</x:v>
      </x:c>
      <x:c r="D116" s="17" t="str">
        <x:v>PL_STD_01</x:v>
      </x:c>
      <x:c r="E116" s="23" t="n">
        <x:v>25000</x:v>
      </x:c>
      <x:c r="F116" s="26" t="n">
        <x:v>24</x:v>
      </x:c>
      <x:c r="G116" s="17" t="str">
        <x:v>31-40</x:v>
      </x:c>
      <x:c r="H116" s="17" t="str">
        <x:v>EAST</x:v>
      </x:c>
      <x:c r="I116" s="17" t="str">
        <x:v>个体经营</x:v>
      </x:c>
      <x:c r="J116" s="23" t="n">
        <x:v>29100</x:v>
      </x:c>
      <x:c r="K116" s="26" t="n">
        <x:v>5</x:v>
      </x:c>
      <x:c r="L116" s="17" t="str">
        <x:v>WEB</x:v>
      </x:c>
    </x:row>
    <x:row r="117">
      <x:c r="A117" s="17" t="str">
        <x:v>APP2025000113</x:v>
      </x:c>
      <x:c r="B117" s="17" t="str">
        <x:v>CUS_00110864</x:v>
      </x:c>
      <x:c r="C117" s="20" t="n">
        <x:v>45669.657638888886</x:v>
      </x:c>
      <x:c r="D117" s="17" t="str">
        <x:v>PL_STD_01</x:v>
      </x:c>
      <x:c r="E117" s="23" t="n">
        <x:v>149000</x:v>
      </x:c>
      <x:c r="F117" s="26" t="n">
        <x:v>36</x:v>
      </x:c>
      <x:c r="G117" s="17" t="str">
        <x:v>21-30</x:v>
      </x:c>
      <x:c r="H117" s="17" t="str">
        <x:v>SOUTHWEST</x:v>
      </x:c>
      <x:c r="I117" s="17" t="str">
        <x:v>制造业职员</x:v>
      </x:c>
      <x:c r="J117" s="23" t="n">
        <x:v>28500</x:v>
      </x:c>
      <x:c r="K117" s="26" t="n">
        <x:v>14</x:v>
      </x:c>
      <x:c r="L117" s="17" t="str">
        <x:v>APP</x:v>
      </x:c>
    </x:row>
    <x:row r="118">
      <x:c r="A118" s="17" t="str">
        <x:v>APP2025000114</x:v>
      </x:c>
      <x:c r="B118" s="17" t="str">
        <x:v>CUS_00110961</x:v>
      </x:c>
      <x:c r="C118" s="20" t="n">
        <x:v>45775.365277777775</x:v>
      </x:c>
      <x:c r="D118" s="17" t="str">
        <x:v>PL_STD_01</x:v>
      </x:c>
      <x:c r="E118" s="23" t="n">
        <x:v>83000</x:v>
      </x:c>
      <x:c r="F118" s="26" t="n">
        <x:v>18</x:v>
      </x:c>
      <x:c r="G118" s="17" t="str">
        <x:v>51-60</x:v>
      </x:c>
      <x:c r="H118" s="17" t="str">
        <x:v>CENTRAL</x:v>
      </x:c>
      <x:c r="I118" s="17" t="str">
        <x:v>公共服务</x:v>
      </x:c>
      <x:c r="J118" s="23" t="n">
        <x:v>11500</x:v>
      </x:c>
      <x:c r="K118" s="26" t="n">
        <x:v>2</x:v>
      </x:c>
      <x:c r="L118" s="17" t="str">
        <x:v>PARTNER</x:v>
      </x:c>
    </x:row>
    <x:row r="119">
      <x:c r="A119" s="17" t="str">
        <x:v>APP2025000115</x:v>
      </x:c>
      <x:c r="B119" s="17" t="str">
        <x:v>CUS_00111058</x:v>
      </x:c>
      <x:c r="C119" s="20" t="n">
        <x:v>45749.42569444444</x:v>
      </x:c>
      <x:c r="D119" s="17" t="str">
        <x:v>PL_STD_01</x:v>
      </x:c>
      <x:c r="E119" s="23" t="n">
        <x:v>34000</x:v>
      </x:c>
      <x:c r="F119" s="26" t="n">
        <x:v>24</x:v>
      </x:c>
      <x:c r="G119" s="17" t="str">
        <x:v>21-30</x:v>
      </x:c>
      <x:c r="H119" s="17" t="str">
        <x:v>CENTRAL</x:v>
      </x:c>
      <x:c r="I119" s="17" t="str">
        <x:v>互联网职员</x:v>
      </x:c>
      <x:c r="J119" s="23" t="n">
        <x:v>21800</x:v>
      </x:c>
      <x:c r="K119" s="26" t="n">
        <x:v>12</x:v>
      </x:c>
      <x:c r="L119" s="17" t="str">
        <x:v>APP</x:v>
      </x:c>
    </x:row>
    <x:row r="120">
      <x:c r="A120" s="17" t="str">
        <x:v>APP2025000116</x:v>
      </x:c>
      <x:c r="B120" s="17" t="str">
        <x:v>CUS_00111155</x:v>
      </x:c>
      <x:c r="C120" s="20" t="n">
        <x:v>45765.42916666667</x:v>
      </x:c>
      <x:c r="D120" s="17" t="str">
        <x:v>PL_STD_01</x:v>
      </x:c>
      <x:c r="E120" s="23" t="n">
        <x:v>89000</x:v>
      </x:c>
      <x:c r="F120" s="26" t="n">
        <x:v>18</x:v>
      </x:c>
      <x:c r="G120" s="17" t="str">
        <x:v>21-30</x:v>
      </x:c>
      <x:c r="H120" s="17" t="str">
        <x:v>EAST</x:v>
      </x:c>
      <x:c r="I120" s="17" t="str">
        <x:v>公共服务</x:v>
      </x:c>
      <x:c r="J120" s="23" t="n">
        <x:v>8000</x:v>
      </x:c>
      <x:c r="K120" s="26" t="n">
        <x:v>13</x:v>
      </x:c>
      <x:c r="L120" s="17" t="str">
        <x:v>WEB</x:v>
      </x:c>
    </x:row>
    <x:row r="121">
      <x:c r="A121" s="17" t="str">
        <x:v>APP2025000117</x:v>
      </x:c>
      <x:c r="B121" s="17" t="str">
        <x:v>CUS_00111252</x:v>
      </x:c>
      <x:c r="C121" s="20" t="n">
        <x:v>45717.74166666667</x:v>
      </x:c>
      <x:c r="D121" s="17" t="str">
        <x:v>PL_STD_01</x:v>
      </x:c>
      <x:c r="E121" s="23" t="n">
        <x:v>103000</x:v>
      </x:c>
      <x:c r="F121" s="26" t="n">
        <x:v>18</x:v>
      </x:c>
      <x:c r="G121" s="17" t="str">
        <x:v>41-50</x:v>
      </x:c>
      <x:c r="H121" s="17" t="str">
        <x:v>SOUTH</x:v>
      </x:c>
      <x:c r="I121" s="17" t="str">
        <x:v>个体经营</x:v>
      </x:c>
      <x:c r="J121" s="23" t="n">
        <x:v>5200</x:v>
      </x:c>
      <x:c r="K121" s="26" t="n">
        <x:v>1</x:v>
      </x:c>
      <x:c r="L121" s="17" t="str">
        <x:v>PARTNER</x:v>
      </x:c>
    </x:row>
    <x:row r="122">
      <x:c r="A122" s="17" t="str">
        <x:v>APP2025000118</x:v>
      </x:c>
      <x:c r="B122" s="17" t="str">
        <x:v>CUS_00111349</x:v>
      </x:c>
      <x:c r="C122" s="20" t="n">
        <x:v>45829.37847222222</x:v>
      </x:c>
      <x:c r="D122" s="17" t="str">
        <x:v>PL_STD_01</x:v>
      </x:c>
      <x:c r="E122" s="23" t="n">
        <x:v>17000</x:v>
      </x:c>
      <x:c r="F122" s="26" t="n">
        <x:v>24</x:v>
      </x:c>
      <x:c r="G122" s="17" t="str">
        <x:v>21-30</x:v>
      </x:c>
      <x:c r="H122" s="17" t="str">
        <x:v>NORTH</x:v>
      </x:c>
      <x:c r="I122" s="17" t="str">
        <x:v>零售从业者</x:v>
      </x:c>
      <x:c r="J122" s="23" t="n">
        <x:v>15300</x:v>
      </x:c>
      <x:c r="K122" s="26" t="n">
        <x:v>6</x:v>
      </x:c>
      <x:c r="L122" s="17" t="str">
        <x:v>PARTNER</x:v>
      </x:c>
    </x:row>
    <x:row r="123">
      <x:c r="A123" s="17" t="str">
        <x:v>APP2025000119</x:v>
      </x:c>
      <x:c r="B123" s="17" t="str">
        <x:v>CUS_00111446</x:v>
      </x:c>
      <x:c r="C123" s="20" t="n">
        <x:v>45778.34722222222</x:v>
      </x:c>
      <x:c r="D123" s="17" t="str">
        <x:v>PL_STD_01</x:v>
      </x:c>
      <x:c r="E123" s="23" t="n">
        <x:v>62000</x:v>
      </x:c>
      <x:c r="F123" s="26" t="n">
        <x:v>6</x:v>
      </x:c>
      <x:c r="G123" s="17" t="str">
        <x:v>51-60</x:v>
      </x:c>
      <x:c r="H123" s="17" t="str">
        <x:v>SOUTHWEST</x:v>
      </x:c>
      <x:c r="I123" s="17" t="str">
        <x:v>互联网职员</x:v>
      </x:c>
      <x:c r="J123" s="23" t="n">
        <x:v>20600</x:v>
      </x:c>
      <x:c r="K123" s="26" t="n">
        <x:v>11</x:v>
      </x:c>
      <x:c r="L123" s="17" t="str">
        <x:v>PARTNER</x:v>
      </x:c>
    </x:row>
    <x:row r="124">
      <x:c r="A124" s="17" t="str">
        <x:v>APP2025000120</x:v>
      </x:c>
      <x:c r="B124" s="17" t="str">
        <x:v>CUS_00111543</x:v>
      </x:c>
      <x:c r="C124" s="20" t="n">
        <x:v>45679.57152777778</x:v>
      </x:c>
      <x:c r="D124" s="17" t="str">
        <x:v>PL_STD_01</x:v>
      </x:c>
      <x:c r="E124" s="23" t="n">
        <x:v>90000</x:v>
      </x:c>
      <x:c r="F124" s="26" t="n">
        <x:v>36</x:v>
      </x:c>
      <x:c r="G124" s="17" t="str">
        <x:v>31-40</x:v>
      </x:c>
      <x:c r="H124" s="17" t="str">
        <x:v>SOUTHWEST</x:v>
      </x:c>
      <x:c r="I124" s="17" t="str">
        <x:v>制造业职员</x:v>
      </x:c>
      <x:c r="J124" s="23" t="n">
        <x:v>24500</x:v>
      </x:c>
      <x:c r="K124" s="26" t="n">
        <x:v>5</x:v>
      </x:c>
      <x:c r="L124" s="17" t="str">
        <x:v>APP</x:v>
      </x:c>
    </x:row>
    <x:row r="125">
      <x:c r="A125" s="17" t="str">
        <x:v>APP2025000121</x:v>
      </x:c>
      <x:c r="B125" s="17" t="str">
        <x:v>CUS_00111640</x:v>
      </x:c>
      <x:c r="C125" s="20" t="n">
        <x:v>45784.68125</x:v>
      </x:c>
      <x:c r="D125" s="17" t="str">
        <x:v>PL_STD_01</x:v>
      </x:c>
      <x:c r="E125" s="23" t="n">
        <x:v>137000</x:v>
      </x:c>
      <x:c r="F125" s="26" t="n">
        <x:v>36</x:v>
      </x:c>
      <x:c r="G125" s="17" t="str">
        <x:v>21-30</x:v>
      </x:c>
      <x:c r="H125" s="17" t="str">
        <x:v>NORTH</x:v>
      </x:c>
      <x:c r="I125" s="17" t="str">
        <x:v>零售从业者</x:v>
      </x:c>
      <x:c r="J125" s="23" t="n">
        <x:v>20100</x:v>
      </x:c>
      <x:c r="K125" s="26" t="n">
        <x:v>14</x:v>
      </x:c>
      <x:c r="L125" s="17" t="str">
        <x:v>PARTNER</x:v>
      </x:c>
    </x:row>
    <x:row r="126">
      <x:c r="A126" s="17" t="str">
        <x:v>APP2025000122</x:v>
      </x:c>
      <x:c r="B126" s="17" t="str">
        <x:v>CUS_00111737</x:v>
      </x:c>
      <x:c r="C126" s="20" t="n">
        <x:v>45701.4625</x:v>
      </x:c>
      <x:c r="D126" s="17" t="str">
        <x:v>PL_STD_01</x:v>
      </x:c>
      <x:c r="E126" s="23" t="n">
        <x:v>15000</x:v>
      </x:c>
      <x:c r="F126" s="26" t="n">
        <x:v>24</x:v>
      </x:c>
      <x:c r="G126" s="17" t="str">
        <x:v>21-30</x:v>
      </x:c>
      <x:c r="H126" s="17" t="str">
        <x:v>NORTH</x:v>
      </x:c>
      <x:c r="I126" s="17" t="str">
        <x:v>公共服务</x:v>
      </x:c>
      <x:c r="J126" s="23" t="n">
        <x:v>16000</x:v>
      </x:c>
      <x:c r="K126" s="26" t="n">
        <x:v>2</x:v>
      </x:c>
      <x:c r="L126" s="17" t="str">
        <x:v>WEB</x:v>
      </x:c>
    </x:row>
    <x:row r="127">
      <x:c r="A127" s="17" t="str">
        <x:v>APP2025000123</x:v>
      </x:c>
      <x:c r="B127" s="17" t="str">
        <x:v>CUS_00111834</x:v>
      </x:c>
      <x:c r="C127" s="20" t="n">
        <x:v>45829.69097222222</x:v>
      </x:c>
      <x:c r="D127" s="17" t="str">
        <x:v>PL_STD_01</x:v>
      </x:c>
      <x:c r="E127" s="23" t="n">
        <x:v>21000</x:v>
      </x:c>
      <x:c r="F127" s="26" t="n">
        <x:v>12</x:v>
      </x:c>
      <x:c r="G127" s="17" t="str">
        <x:v>41-50</x:v>
      </x:c>
      <x:c r="H127" s="17" t="str">
        <x:v>SOUTH</x:v>
      </x:c>
      <x:c r="I127" s="17" t="str">
        <x:v>制造业职员</x:v>
      </x:c>
      <x:c r="J127" s="23" t="n">
        <x:v>23600</x:v>
      </x:c>
      <x:c r="K127" s="26" t="n">
        <x:v>3</x:v>
      </x:c>
      <x:c r="L127" s="17" t="str">
        <x:v>WEB</x:v>
      </x:c>
    </x:row>
    <x:row r="128">
      <x:c r="A128" s="17" t="str">
        <x:v>APP2025000124</x:v>
      </x:c>
      <x:c r="B128" s="17" t="str">
        <x:v>CUS_00111931</x:v>
      </x:c>
      <x:c r="C128" s="20" t="n">
        <x:v>45765.54722222222</x:v>
      </x:c>
      <x:c r="D128" s="17" t="str">
        <x:v>PL_STD_01</x:v>
      </x:c>
      <x:c r="E128" s="23" t="n">
        <x:v>117000</x:v>
      </x:c>
      <x:c r="F128" s="26" t="n">
        <x:v>6</x:v>
      </x:c>
      <x:c r="G128" s="17" t="str">
        <x:v>41-50</x:v>
      </x:c>
      <x:c r="H128" s="17" t="str">
        <x:v>NORTH</x:v>
      </x:c>
      <x:c r="I128" s="17" t="str">
        <x:v>物流从业者</x:v>
      </x:c>
      <x:c r="J128" s="23" t="n">
        <x:v>4700</x:v>
      </x:c>
      <x:c r="K128" s="26" t="n">
        <x:v>3</x:v>
      </x:c>
      <x:c r="L128" s="17" t="str">
        <x:v>WEB</x:v>
      </x:c>
    </x:row>
    <x:row r="129">
      <x:c r="A129" s="17" t="str">
        <x:v>APP2025000125</x:v>
      </x:c>
      <x:c r="B129" s="17" t="str">
        <x:v>CUS_00112028</x:v>
      </x:c>
      <x:c r="C129" s="20" t="n">
        <x:v>45816.4</x:v>
      </x:c>
      <x:c r="D129" s="17" t="str">
        <x:v>PL_STD_01</x:v>
      </x:c>
      <x:c r="E129" s="23" t="n">
        <x:v>127000</x:v>
      </x:c>
      <x:c r="F129" s="26" t="n">
        <x:v>6</x:v>
      </x:c>
      <x:c r="G129" s="17" t="str">
        <x:v>21-30</x:v>
      </x:c>
      <x:c r="H129" s="17" t="str">
        <x:v>NORTH</x:v>
      </x:c>
      <x:c r="I129" s="17" t="str">
        <x:v>零售从业者</x:v>
      </x:c>
      <x:c r="J129" s="23" t="n">
        <x:v>15300</x:v>
      </x:c>
      <x:c r="K129" s="26" t="n">
        <x:v>8</x:v>
      </x:c>
      <x:c r="L129" s="17" t="str">
        <x:v>WEB</x:v>
      </x:c>
    </x:row>
    <x:row r="130">
      <x:c r="A130" s="17" t="str">
        <x:v>APP2025000126</x:v>
      </x:c>
      <x:c r="B130" s="17" t="str">
        <x:v>CUS_00112125</x:v>
      </x:c>
      <x:c r="C130" s="20" t="n">
        <x:v>45702.70277777778</x:v>
      </x:c>
      <x:c r="D130" s="17" t="str">
        <x:v>PL_STD_01</x:v>
      </x:c>
      <x:c r="E130" s="23" t="n">
        <x:v>48000</x:v>
      </x:c>
      <x:c r="F130" s="26" t="n">
        <x:v>24</x:v>
      </x:c>
      <x:c r="G130" s="17" t="str">
        <x:v>21-30</x:v>
      </x:c>
      <x:c r="H130" s="17" t="str">
        <x:v>SOUTH</x:v>
      </x:c>
      <x:c r="I130" s="17" t="str">
        <x:v>互联网职员</x:v>
      </x:c>
      <x:c r="J130" s="23" t="n">
        <x:v>17000</x:v>
      </x:c>
      <x:c r="K130" s="26" t="n">
        <x:v>9</x:v>
      </x:c>
      <x:c r="L130" s="17" t="str">
        <x:v>APP</x:v>
      </x:c>
    </x:row>
    <x:row r="131">
      <x:c r="A131" s="17" t="str">
        <x:v>APP2025000127</x:v>
      </x:c>
      <x:c r="B131" s="17" t="str">
        <x:v>CUS_00112222</x:v>
      </x:c>
      <x:c r="C131" s="20" t="n">
        <x:v>45828.6</x:v>
      </x:c>
      <x:c r="D131" s="17" t="str">
        <x:v>PL_STD_01</x:v>
      </x:c>
      <x:c r="E131" s="23" t="n">
        <x:v>96000</x:v>
      </x:c>
      <x:c r="F131" s="26" t="n">
        <x:v>12</x:v>
      </x:c>
      <x:c r="G131" s="17" t="str">
        <x:v>41-50</x:v>
      </x:c>
      <x:c r="H131" s="17" t="str">
        <x:v>SOUTH</x:v>
      </x:c>
      <x:c r="I131" s="17" t="str">
        <x:v>零售从业者</x:v>
      </x:c>
      <x:c r="J131" s="23" t="n">
        <x:v>6800</x:v>
      </x:c>
      <x:c r="K131" s="26" t="n">
        <x:v>3</x:v>
      </x:c>
      <x:c r="L131" s="17" t="str">
        <x:v>APP</x:v>
      </x:c>
    </x:row>
    <x:row r="132">
      <x:c r="A132" s="17" t="str">
        <x:v>APP2025000128</x:v>
      </x:c>
      <x:c r="B132" s="17" t="str">
        <x:v>CUS_00112319</x:v>
      </x:c>
      <x:c r="C132" s="20" t="n">
        <x:v>45679.70416666667</x:v>
      </x:c>
      <x:c r="D132" s="17" t="str">
        <x:v>PL_STD_01</x:v>
      </x:c>
      <x:c r="E132" s="23" t="n">
        <x:v>32000</x:v>
      </x:c>
      <x:c r="F132" s="26" t="n">
        <x:v>24</x:v>
      </x:c>
      <x:c r="G132" s="17" t="str">
        <x:v>21-30</x:v>
      </x:c>
      <x:c r="H132" s="17" t="str">
        <x:v>SOUTHWEST</x:v>
      </x:c>
      <x:c r="I132" s="17" t="str">
        <x:v>公共服务</x:v>
      </x:c>
      <x:c r="J132" s="23" t="n">
        <x:v>8200</x:v>
      </x:c>
      <x:c r="K132" s="26" t="n">
        <x:v>11</x:v>
      </x:c>
      <x:c r="L132" s="17" t="str">
        <x:v>PARTNER</x:v>
      </x:c>
    </x:row>
    <x:row r="133">
      <x:c r="A133" s="17" t="str">
        <x:v>APP2025000129</x:v>
      </x:c>
      <x:c r="B133" s="17" t="str">
        <x:v>CUS_00112416</x:v>
      </x:c>
      <x:c r="C133" s="20" t="n">
        <x:v>45793.63611111111</x:v>
      </x:c>
      <x:c r="D133" s="17" t="str">
        <x:v>PL_STD_01</x:v>
      </x:c>
      <x:c r="E133" s="23" t="n">
        <x:v>10000</x:v>
      </x:c>
      <x:c r="F133" s="26" t="n">
        <x:v>12</x:v>
      </x:c>
      <x:c r="G133" s="17" t="str">
        <x:v>21-30</x:v>
      </x:c>
      <x:c r="H133" s="17" t="str">
        <x:v>CENTRAL</x:v>
      </x:c>
      <x:c r="I133" s="17" t="str">
        <x:v>互联网职员</x:v>
      </x:c>
      <x:c r="J133" s="23" t="n">
        <x:v>25400</x:v>
      </x:c>
      <x:c r="K133" s="26" t="n">
        <x:v>11</x:v>
      </x:c>
      <x:c r="L133" s="17" t="str">
        <x:v>APP</x:v>
      </x:c>
    </x:row>
    <x:row r="134">
      <x:c r="A134" s="17" t="str">
        <x:v>APP2025000130</x:v>
      </x:c>
      <x:c r="B134" s="17" t="str">
        <x:v>CUS_00112513</x:v>
      </x:c>
      <x:c r="C134" s="20" t="n">
        <x:v>45706.65069444444</x:v>
      </x:c>
      <x:c r="D134" s="17" t="str">
        <x:v>PL_STD_01</x:v>
      </x:c>
      <x:c r="E134" s="23" t="n">
        <x:v>111000</x:v>
      </x:c>
      <x:c r="F134" s="26" t="n">
        <x:v>36</x:v>
      </x:c>
      <x:c r="G134" s="17" t="str">
        <x:v>41-50</x:v>
      </x:c>
      <x:c r="H134" s="17" t="str">
        <x:v>EAST</x:v>
      </x:c>
      <x:c r="I134" s="17" t="str">
        <x:v>零售从业者</x:v>
      </x:c>
      <x:c r="J134" s="23" t="n">
        <x:v>7600</x:v>
      </x:c>
      <x:c r="K134" s="26" t="n">
        <x:v>1</x:v>
      </x:c>
      <x:c r="L134" s="17" t="str">
        <x:v>WEB</x:v>
      </x:c>
    </x:row>
    <x:row r="135">
      <x:c r="A135" s="17" t="str">
        <x:v>APP2025000131</x:v>
      </x:c>
      <x:c r="B135" s="17" t="str">
        <x:v>CUS_00112610</x:v>
      </x:c>
      <x:c r="C135" s="20" t="n">
        <x:v>45674.39166666667</x:v>
      </x:c>
      <x:c r="D135" s="17" t="str">
        <x:v>PL_STD_01</x:v>
      </x:c>
      <x:c r="E135" s="23" t="n">
        <x:v>95000</x:v>
      </x:c>
      <x:c r="F135" s="26" t="n">
        <x:v>6</x:v>
      </x:c>
      <x:c r="G135" s="17" t="str">
        <x:v>51-60</x:v>
      </x:c>
      <x:c r="H135" s="17" t="str">
        <x:v>NORTH</x:v>
      </x:c>
      <x:c r="I135" s="17" t="str">
        <x:v>制造业职员</x:v>
      </x:c>
      <x:c r="J135" s="23" t="n">
        <x:v>5900</x:v>
      </x:c>
      <x:c r="K135" s="26" t="n">
        <x:v>15</x:v>
      </x:c>
      <x:c r="L135" s="17" t="str">
        <x:v>PARTNER</x:v>
      </x:c>
    </x:row>
    <x:row r="136">
      <x:c r="A136" s="17" t="str">
        <x:v>APP2025000132</x:v>
      </x:c>
      <x:c r="B136" s="17" t="str">
        <x:v>CUS_00112707</x:v>
      </x:c>
      <x:c r="C136" s="20" t="n">
        <x:v>45769.68472222222</x:v>
      </x:c>
      <x:c r="D136" s="17" t="str">
        <x:v>PL_STD_01</x:v>
      </x:c>
      <x:c r="E136" s="23" t="n">
        <x:v>21000</x:v>
      </x:c>
      <x:c r="F136" s="26" t="n">
        <x:v>6</x:v>
      </x:c>
      <x:c r="G136" s="17" t="str">
        <x:v>31-40</x:v>
      </x:c>
      <x:c r="H136" s="17" t="str">
        <x:v>NORTH</x:v>
      </x:c>
      <x:c r="I136" s="17" t="str">
        <x:v>物流从业者</x:v>
      </x:c>
      <x:c r="J136" s="23" t="n">
        <x:v>16800</x:v>
      </x:c>
      <x:c r="K136" s="26" t="n">
        <x:v>1</x:v>
      </x:c>
      <x:c r="L136" s="17" t="str">
        <x:v>APP</x:v>
      </x:c>
    </x:row>
    <x:row r="137">
      <x:c r="A137" s="17" t="str">
        <x:v>APP2025000133</x:v>
      </x:c>
      <x:c r="B137" s="17" t="str">
        <x:v>CUS_00112804</x:v>
      </x:c>
      <x:c r="C137" s="20" t="n">
        <x:v>45672.42569444444</x:v>
      </x:c>
      <x:c r="D137" s="17" t="str">
        <x:v>PL_STD_01</x:v>
      </x:c>
      <x:c r="E137" s="23" t="n">
        <x:v>50000</x:v>
      </x:c>
      <x:c r="F137" s="26" t="n">
        <x:v>6</x:v>
      </x:c>
      <x:c r="G137" s="17" t="str">
        <x:v>51-60</x:v>
      </x:c>
      <x:c r="H137" s="17" t="str">
        <x:v>CENTRAL</x:v>
      </x:c>
      <x:c r="I137" s="17" t="str">
        <x:v>物流从业者</x:v>
      </x:c>
      <x:c r="J137" s="23" t="n">
        <x:v>23800</x:v>
      </x:c>
      <x:c r="K137" s="26" t="n">
        <x:v>14</x:v>
      </x:c>
      <x:c r="L137" s="17" t="str">
        <x:v>APP</x:v>
      </x:c>
    </x:row>
    <x:row r="138">
      <x:c r="A138" s="17" t="str">
        <x:v>APP2025000134</x:v>
      </x:c>
      <x:c r="B138" s="17" t="str">
        <x:v>CUS_00112901</x:v>
      </x:c>
      <x:c r="C138" s="20" t="n">
        <x:v>45681.67291666667</x:v>
      </x:c>
      <x:c r="D138" s="17" t="str">
        <x:v>PL_STD_01</x:v>
      </x:c>
      <x:c r="E138" s="23" t="n">
        <x:v>40000</x:v>
      </x:c>
      <x:c r="F138" s="26" t="n">
        <x:v>24</x:v>
      </x:c>
      <x:c r="G138" s="17" t="str">
        <x:v>51-60</x:v>
      </x:c>
      <x:c r="H138" s="17" t="str">
        <x:v>NORTH</x:v>
      </x:c>
      <x:c r="I138" s="17" t="str">
        <x:v>公共服务</x:v>
      </x:c>
      <x:c r="J138" s="23" t="n">
        <x:v>9200</x:v>
      </x:c>
      <x:c r="K138" s="26" t="n">
        <x:v>2</x:v>
      </x:c>
      <x:c r="L138" s="17" t="str">
        <x:v>APP</x:v>
      </x:c>
    </x:row>
    <x:row r="139">
      <x:c r="A139" s="17" t="str">
        <x:v>APP2025000135</x:v>
      </x:c>
      <x:c r="B139" s="17" t="str">
        <x:v>CUS_00112998</x:v>
      </x:c>
      <x:c r="C139" s="20" t="n">
        <x:v>45695.64513888889</x:v>
      </x:c>
      <x:c r="D139" s="17" t="str">
        <x:v>PL_STD_01</x:v>
      </x:c>
      <x:c r="E139" s="23" t="n">
        <x:v>48000</x:v>
      </x:c>
      <x:c r="F139" s="26" t="n">
        <x:v>6</x:v>
      </x:c>
      <x:c r="G139" s="17" t="str">
        <x:v>31-40</x:v>
      </x:c>
      <x:c r="H139" s="17" t="str">
        <x:v>EAST</x:v>
      </x:c>
      <x:c r="I139" s="17" t="str">
        <x:v>制造业职员</x:v>
      </x:c>
      <x:c r="J139" s="23" t="n">
        <x:v>13600</x:v>
      </x:c>
      <x:c r="K139" s="26" t="n">
        <x:v>5</x:v>
      </x:c>
      <x:c r="L139" s="17" t="str">
        <x:v>PARTNER</x:v>
      </x:c>
    </x:row>
    <x:row r="140">
      <x:c r="A140" s="17" t="str">
        <x:v>APP2025000136</x:v>
      </x:c>
      <x:c r="B140" s="17" t="str">
        <x:v>CUS_00113095</x:v>
      </x:c>
      <x:c r="C140" s="20" t="n">
        <x:v>45787.35486111111</x:v>
      </x:c>
      <x:c r="D140" s="17" t="str">
        <x:v>PL_STD_01</x:v>
      </x:c>
      <x:c r="E140" s="23" t="n">
        <x:v>129000</x:v>
      </x:c>
      <x:c r="F140" s="26" t="n">
        <x:v>6</x:v>
      </x:c>
      <x:c r="G140" s="17" t="str">
        <x:v>41-50</x:v>
      </x:c>
      <x:c r="H140" s="17" t="str">
        <x:v>SOUTHWEST</x:v>
      </x:c>
      <x:c r="I140" s="17" t="str">
        <x:v>物流从业者</x:v>
      </x:c>
      <x:c r="J140" s="23" t="n">
        <x:v>29600</x:v>
      </x:c>
      <x:c r="K140" s="26" t="n">
        <x:v>2</x:v>
      </x:c>
      <x:c r="L140" s="17" t="str">
        <x:v>PARTNER</x:v>
      </x:c>
    </x:row>
    <x:row r="141">
      <x:c r="A141" s="17" t="str">
        <x:v>APP2025000137</x:v>
      </x:c>
      <x:c r="B141" s="17" t="str">
        <x:v>CUS_00113192</x:v>
      </x:c>
      <x:c r="C141" s="20" t="n">
        <x:v>45750.43263888889</x:v>
      </x:c>
      <x:c r="D141" s="17" t="str">
        <x:v>PL_STD_01</x:v>
      </x:c>
      <x:c r="E141" s="23" t="n">
        <x:v>126000</x:v>
      </x:c>
      <x:c r="F141" s="26" t="n">
        <x:v>36</x:v>
      </x:c>
      <x:c r="G141" s="17" t="str">
        <x:v>51-60</x:v>
      </x:c>
      <x:c r="H141" s="17" t="str">
        <x:v>SOUTHWEST</x:v>
      </x:c>
      <x:c r="I141" s="17" t="str">
        <x:v>零售从业者</x:v>
      </x:c>
      <x:c r="J141" s="23" t="n">
        <x:v>5200</x:v>
      </x:c>
      <x:c r="K141" s="26" t="n">
        <x:v>12</x:v>
      </x:c>
      <x:c r="L141" s="17" t="str">
        <x:v>WEB</x:v>
      </x:c>
    </x:row>
    <x:row r="142">
      <x:c r="A142" s="17" t="str">
        <x:v>APP2025000138</x:v>
      </x:c>
      <x:c r="B142" s="17" t="str">
        <x:v>CUS_00113289</x:v>
      </x:c>
      <x:c r="C142" s="20" t="n">
        <x:v>45742.54791666667</x:v>
      </x:c>
      <x:c r="D142" s="17" t="str">
        <x:v>PL_STD_01</x:v>
      </x:c>
      <x:c r="E142" s="23" t="n">
        <x:v>101000</x:v>
      </x:c>
      <x:c r="F142" s="26" t="n">
        <x:v>6</x:v>
      </x:c>
      <x:c r="G142" s="17" t="str">
        <x:v>21-30</x:v>
      </x:c>
      <x:c r="H142" s="17" t="str">
        <x:v>SOUTH</x:v>
      </x:c>
      <x:c r="I142" s="17" t="str">
        <x:v>互联网职员</x:v>
      </x:c>
      <x:c r="J142" s="23" t="n">
        <x:v>5400</x:v>
      </x:c>
      <x:c r="K142" s="26" t="n">
        <x:v>4</x:v>
      </x:c>
      <x:c r="L142" s="17" t="str">
        <x:v>APP</x:v>
      </x:c>
    </x:row>
    <x:row r="143">
      <x:c r="A143" s="17" t="str">
        <x:v>APP2025000139</x:v>
      </x:c>
      <x:c r="B143" s="17" t="str">
        <x:v>CUS_00113386</x:v>
      </x:c>
      <x:c r="C143" s="20" t="n">
        <x:v>45821.40555555555</x:v>
      </x:c>
      <x:c r="D143" s="17" t="str">
        <x:v>PL_STD_01</x:v>
      </x:c>
      <x:c r="E143" s="23" t="n">
        <x:v>43000</x:v>
      </x:c>
      <x:c r="F143" s="26" t="n">
        <x:v>6</x:v>
      </x:c>
      <x:c r="G143" s="17" t="str">
        <x:v>31-40</x:v>
      </x:c>
      <x:c r="H143" s="17" t="str">
        <x:v>CENTRAL</x:v>
      </x:c>
      <x:c r="I143" s="17" t="str">
        <x:v>公共服务</x:v>
      </x:c>
      <x:c r="J143" s="23" t="n">
        <x:v>25700</x:v>
      </x:c>
      <x:c r="K143" s="26" t="n">
        <x:v>0</x:v>
      </x:c>
      <x:c r="L143" s="17" t="str">
        <x:v>WEB</x:v>
      </x:c>
    </x:row>
    <x:row r="144">
      <x:c r="A144" s="17" t="str">
        <x:v>APP2025000140</x:v>
      </x:c>
      <x:c r="B144" s="17" t="str">
        <x:v>CUS_00113483</x:v>
      </x:c>
      <x:c r="C144" s="20" t="n">
        <x:v>45785.66875</x:v>
      </x:c>
      <x:c r="D144" s="17" t="str">
        <x:v>PL_STD_01</x:v>
      </x:c>
      <x:c r="E144" s="23" t="n">
        <x:v>150000</x:v>
      </x:c>
      <x:c r="F144" s="26" t="n">
        <x:v>12</x:v>
      </x:c>
      <x:c r="G144" s="17" t="str">
        <x:v>51-60</x:v>
      </x:c>
      <x:c r="H144" s="17" t="str">
        <x:v>SOUTH</x:v>
      </x:c>
      <x:c r="I144" s="17" t="str">
        <x:v>物流从业者</x:v>
      </x:c>
      <x:c r="J144" s="23" t="n">
        <x:v>25100</x:v>
      </x:c>
      <x:c r="K144" s="26" t="n">
        <x:v>2</x:v>
      </x:c>
      <x:c r="L144" s="17" t="str">
        <x:v>APP</x:v>
      </x:c>
    </x:row>
    <x:row r="145">
      <x:c r="A145" s="17" t="str">
        <x:v>APP2025000141</x:v>
      </x:c>
      <x:c r="B145" s="17" t="str">
        <x:v>CUS_00113580</x:v>
      </x:c>
      <x:c r="C145" s="20" t="n">
        <x:v>45677.43472222222</x:v>
      </x:c>
      <x:c r="D145" s="17" t="str">
        <x:v>PL_STD_01</x:v>
      </x:c>
      <x:c r="E145" s="23" t="n">
        <x:v>139000</x:v>
      </x:c>
      <x:c r="F145" s="26" t="n">
        <x:v>18</x:v>
      </x:c>
      <x:c r="G145" s="17" t="str">
        <x:v>41-50</x:v>
      </x:c>
      <x:c r="H145" s="17" t="str">
        <x:v>NORTH</x:v>
      </x:c>
      <x:c r="I145" s="17" t="str">
        <x:v>个体经营</x:v>
      </x:c>
      <x:c r="J145" s="23" t="n">
        <x:v>9400</x:v>
      </x:c>
      <x:c r="K145" s="26" t="n">
        <x:v>2</x:v>
      </x:c>
      <x:c r="L145" s="17" t="str">
        <x:v>WEB</x:v>
      </x:c>
    </x:row>
    <x:row r="146">
      <x:c r="A146" s="17" t="str">
        <x:v>APP2025000142</x:v>
      </x:c>
      <x:c r="B146" s="17" t="str">
        <x:v>CUS_00113677</x:v>
      </x:c>
      <x:c r="C146" s="20" t="n">
        <x:v>45808.37777777778</x:v>
      </x:c>
      <x:c r="D146" s="17" t="str">
        <x:v>PL_STD_01</x:v>
      </x:c>
      <x:c r="E146" s="23" t="n">
        <x:v>90000</x:v>
      </x:c>
      <x:c r="F146" s="26" t="n">
        <x:v>12</x:v>
      </x:c>
      <x:c r="G146" s="17" t="str">
        <x:v>31-40</x:v>
      </x:c>
      <x:c r="H146" s="17" t="str">
        <x:v>NORTH</x:v>
      </x:c>
      <x:c r="I146" s="17" t="str">
        <x:v>零售从业者</x:v>
      </x:c>
      <x:c r="J146" s="23" t="n">
        <x:v>9700</x:v>
      </x:c>
      <x:c r="K146" s="26" t="n">
        <x:v>3</x:v>
      </x:c>
      <x:c r="L146" s="17" t="str">
        <x:v>WEB</x:v>
      </x:c>
    </x:row>
    <x:row r="147">
      <x:c r="A147" s="17" t="str">
        <x:v>APP2025000143</x:v>
      </x:c>
      <x:c r="B147" s="17" t="str">
        <x:v>CUS_00113774</x:v>
      </x:c>
      <x:c r="C147" s="20" t="n">
        <x:v>45666.33541666667</x:v>
      </x:c>
      <x:c r="D147" s="17" t="str">
        <x:v>PL_STD_01</x:v>
      </x:c>
      <x:c r="E147" s="23" t="n">
        <x:v>126000</x:v>
      </x:c>
      <x:c r="F147" s="26" t="n">
        <x:v>6</x:v>
      </x:c>
      <x:c r="G147" s="17" t="str">
        <x:v>21-30</x:v>
      </x:c>
      <x:c r="H147" s="17" t="str">
        <x:v>NORTH</x:v>
      </x:c>
      <x:c r="I147" s="17" t="str">
        <x:v>零售从业者</x:v>
      </x:c>
      <x:c r="J147" s="23" t="n">
        <x:v>10900</x:v>
      </x:c>
      <x:c r="K147" s="26" t="n">
        <x:v>3</x:v>
      </x:c>
      <x:c r="L147" s="17" t="str">
        <x:v>WEB</x:v>
      </x:c>
    </x:row>
    <x:row r="148">
      <x:c r="A148" s="17" t="str">
        <x:v>APP2025000144</x:v>
      </x:c>
      <x:c r="B148" s="17" t="str">
        <x:v>CUS_00113871</x:v>
      </x:c>
      <x:c r="C148" s="20" t="n">
        <x:v>45808.74166666667</x:v>
      </x:c>
      <x:c r="D148" s="17" t="str">
        <x:v>PL_STD_01</x:v>
      </x:c>
      <x:c r="E148" s="23" t="n">
        <x:v>131000</x:v>
      </x:c>
      <x:c r="F148" s="26" t="n">
        <x:v>12</x:v>
      </x:c>
      <x:c r="G148" s="17" t="str">
        <x:v>21-30</x:v>
      </x:c>
      <x:c r="H148" s="17" t="str">
        <x:v>EAST</x:v>
      </x:c>
      <x:c r="I148" s="17" t="str">
        <x:v>物流从业者</x:v>
      </x:c>
      <x:c r="J148" s="23" t="n">
        <x:v>9800</x:v>
      </x:c>
      <x:c r="K148" s="26" t="n">
        <x:v>13</x:v>
      </x:c>
      <x:c r="L148" s="17" t="str">
        <x:v>APP</x:v>
      </x:c>
    </x:row>
    <x:row r="149">
      <x:c r="A149" s="17" t="str">
        <x:v>APP2025000145</x:v>
      </x:c>
      <x:c r="B149" s="17" t="str">
        <x:v>CUS_00113968</x:v>
      </x:c>
      <x:c r="C149" s="20" t="n">
        <x:v>45680.58472222222</x:v>
      </x:c>
      <x:c r="D149" s="17" t="str">
        <x:v>PL_STD_01</x:v>
      </x:c>
      <x:c r="E149" s="23" t="n">
        <x:v>148000</x:v>
      </x:c>
      <x:c r="F149" s="26" t="n">
        <x:v>12</x:v>
      </x:c>
      <x:c r="G149" s="17" t="str">
        <x:v>21-30</x:v>
      </x:c>
      <x:c r="H149" s="17" t="str">
        <x:v>CENTRAL</x:v>
      </x:c>
      <x:c r="I149" s="17" t="str">
        <x:v>制造业职员</x:v>
      </x:c>
      <x:c r="J149" s="23" t="n">
        <x:v>24400</x:v>
      </x:c>
      <x:c r="K149" s="26" t="n">
        <x:v>9</x:v>
      </x:c>
      <x:c r="L149" s="17" t="str">
        <x:v>APP</x:v>
      </x:c>
    </x:row>
    <x:row r="150">
      <x:c r="A150" s="17" t="str">
        <x:v>APP2025000146</x:v>
      </x:c>
      <x:c r="B150" s="17" t="str">
        <x:v>CUS_00114065</x:v>
      </x:c>
      <x:c r="C150" s="20" t="n">
        <x:v>45752.62847222222</x:v>
      </x:c>
      <x:c r="D150" s="17" t="str">
        <x:v>PL_STD_01</x:v>
      </x:c>
      <x:c r="E150" s="23" t="n">
        <x:v>80000</x:v>
      </x:c>
      <x:c r="F150" s="26" t="n">
        <x:v>36</x:v>
      </x:c>
      <x:c r="G150" s="17" t="str">
        <x:v>41-50</x:v>
      </x:c>
      <x:c r="H150" s="17" t="str">
        <x:v>SOUTH</x:v>
      </x:c>
      <x:c r="I150" s="17" t="str">
        <x:v>物流从业者</x:v>
      </x:c>
      <x:c r="J150" s="23" t="n">
        <x:v>24800</x:v>
      </x:c>
      <x:c r="K150" s="26" t="n">
        <x:v>7</x:v>
      </x:c>
      <x:c r="L150" s="17" t="str">
        <x:v>WEB</x:v>
      </x:c>
    </x:row>
    <x:row r="151">
      <x:c r="A151" s="17" t="str">
        <x:v>APP2025000147</x:v>
      </x:c>
      <x:c r="B151" s="17" t="str">
        <x:v>CUS_00114162</x:v>
      </x:c>
      <x:c r="C151" s="20" t="n">
        <x:v>45762.66458333333</x:v>
      </x:c>
      <x:c r="D151" s="17" t="str">
        <x:v>PL_STD_01</x:v>
      </x:c>
      <x:c r="E151" s="23" t="n">
        <x:v>35000</x:v>
      </x:c>
      <x:c r="F151" s="26" t="n">
        <x:v>36</x:v>
      </x:c>
      <x:c r="G151" s="17" t="str">
        <x:v>21-30</x:v>
      </x:c>
      <x:c r="H151" s="17" t="str">
        <x:v>CENTRAL</x:v>
      </x:c>
      <x:c r="I151" s="17" t="str">
        <x:v>个体经营</x:v>
      </x:c>
      <x:c r="J151" s="23" t="n">
        <x:v>28900</x:v>
      </x:c>
      <x:c r="K151" s="26" t="n">
        <x:v>15</x:v>
      </x:c>
      <x:c r="L151" s="17" t="str">
        <x:v>APP</x:v>
      </x:c>
    </x:row>
    <x:row r="152">
      <x:c r="A152" s="17" t="str">
        <x:v>APP2025000148</x:v>
      </x:c>
      <x:c r="B152" s="17" t="str">
        <x:v>CUS_00114259</x:v>
      </x:c>
      <x:c r="C152" s="20" t="n">
        <x:v>45772.4375</x:v>
      </x:c>
      <x:c r="D152" s="17" t="str">
        <x:v>PL_STD_01</x:v>
      </x:c>
      <x:c r="E152" s="23" t="n">
        <x:v>143000</x:v>
      </x:c>
      <x:c r="F152" s="26" t="n">
        <x:v>6</x:v>
      </x:c>
      <x:c r="G152" s="17" t="str">
        <x:v>51-60</x:v>
      </x:c>
      <x:c r="H152" s="17" t="str">
        <x:v>SOUTHWEST</x:v>
      </x:c>
      <x:c r="I152" s="17" t="str">
        <x:v>公共服务</x:v>
      </x:c>
      <x:c r="J152" s="23" t="n">
        <x:v>21900</x:v>
      </x:c>
      <x:c r="K152" s="26" t="n">
        <x:v>8</x:v>
      </x:c>
      <x:c r="L152" s="17" t="str">
        <x:v>WEB</x:v>
      </x:c>
    </x:row>
    <x:row r="153">
      <x:c r="A153" s="17" t="str">
        <x:v>APP2025000149</x:v>
      </x:c>
      <x:c r="B153" s="17" t="str">
        <x:v>CUS_00114356</x:v>
      </x:c>
      <x:c r="C153" s="20" t="n">
        <x:v>45758.73055555556</x:v>
      </x:c>
      <x:c r="D153" s="17" t="str">
        <x:v>PL_STD_01</x:v>
      </x:c>
      <x:c r="E153" s="23" t="n">
        <x:v>134000</x:v>
      </x:c>
      <x:c r="F153" s="26" t="n">
        <x:v>12</x:v>
      </x:c>
      <x:c r="G153" s="17" t="str">
        <x:v>41-50</x:v>
      </x:c>
      <x:c r="H153" s="17" t="str">
        <x:v>EAST</x:v>
      </x:c>
      <x:c r="I153" s="17" t="str">
        <x:v>公共服务</x:v>
      </x:c>
      <x:c r="J153" s="23" t="n">
        <x:v>15700</x:v>
      </x:c>
      <x:c r="K153" s="26" t="n">
        <x:v>12</x:v>
      </x:c>
      <x:c r="L153" s="17" t="str">
        <x:v>WEB</x:v>
      </x:c>
    </x:row>
    <x:row r="154">
      <x:c r="A154" s="17" t="str">
        <x:v>APP2025000150</x:v>
      </x:c>
      <x:c r="B154" s="17" t="str">
        <x:v>CUS_00114453</x:v>
      </x:c>
      <x:c r="C154" s="20" t="n">
        <x:v>45724.69513888889</x:v>
      </x:c>
      <x:c r="D154" s="17" t="str">
        <x:v>PL_STD_01</x:v>
      </x:c>
      <x:c r="E154" s="23" t="n">
        <x:v>32000</x:v>
      </x:c>
      <x:c r="F154" s="26" t="n">
        <x:v>18</x:v>
      </x:c>
      <x:c r="G154" s="17" t="str">
        <x:v>41-50</x:v>
      </x:c>
      <x:c r="H154" s="17" t="str">
        <x:v>NORTH</x:v>
      </x:c>
      <x:c r="I154" s="17" t="str">
        <x:v>物流从业者</x:v>
      </x:c>
      <x:c r="J154" s="23" t="n">
        <x:v>25900</x:v>
      </x:c>
      <x:c r="K154" s="26" t="n">
        <x:v>2</x:v>
      </x:c>
      <x:c r="L154" s="17" t="str">
        <x:v>APP</x:v>
      </x:c>
    </x:row>
    <x:row r="155">
      <x:c r="A155" s="17" t="str">
        <x:v>APP2025000151</x:v>
      </x:c>
      <x:c r="B155" s="17" t="str">
        <x:v>CUS_00114550</x:v>
      </x:c>
      <x:c r="C155" s="20" t="n">
        <x:v>45683.40138888889</x:v>
      </x:c>
      <x:c r="D155" s="17" t="str">
        <x:v>PL_STD_01</x:v>
      </x:c>
      <x:c r="E155" s="23" t="n">
        <x:v>22000</x:v>
      </x:c>
      <x:c r="F155" s="26" t="n">
        <x:v>6</x:v>
      </x:c>
      <x:c r="G155" s="17" t="str">
        <x:v>21-30</x:v>
      </x:c>
      <x:c r="H155" s="17" t="str">
        <x:v>EAST</x:v>
      </x:c>
      <x:c r="I155" s="17" t="str">
        <x:v>互联网职员</x:v>
      </x:c>
      <x:c r="J155" s="23" t="n">
        <x:v>12300</x:v>
      </x:c>
      <x:c r="K155" s="26" t="n">
        <x:v>9</x:v>
      </x:c>
      <x:c r="L155" s="17" t="str">
        <x:v>WEB</x:v>
      </x:c>
    </x:row>
    <x:row r="156">
      <x:c r="A156" s="17" t="str">
        <x:v>APP2025000152</x:v>
      </x:c>
      <x:c r="B156" s="17" t="str">
        <x:v>CUS_00114647</x:v>
      </x:c>
      <x:c r="C156" s="20" t="n">
        <x:v>45699.69513888889</x:v>
      </x:c>
      <x:c r="D156" s="17" t="str">
        <x:v>PL_STD_01</x:v>
      </x:c>
      <x:c r="E156" s="23" t="n">
        <x:v>118000</x:v>
      </x:c>
      <x:c r="F156" s="26" t="n">
        <x:v>12</x:v>
      </x:c>
      <x:c r="G156" s="17" t="str">
        <x:v>41-50</x:v>
      </x:c>
      <x:c r="H156" s="17" t="str">
        <x:v>NORTH</x:v>
      </x:c>
      <x:c r="I156" s="17" t="str">
        <x:v>零售从业者</x:v>
      </x:c>
      <x:c r="J156" s="23" t="n">
        <x:v>17300</x:v>
      </x:c>
      <x:c r="K156" s="26" t="n">
        <x:v>4</x:v>
      </x:c>
      <x:c r="L156" s="17" t="str">
        <x:v>APP</x:v>
      </x:c>
    </x:row>
    <x:row r="157">
      <x:c r="A157" s="17" t="str">
        <x:v>APP2025000153</x:v>
      </x:c>
      <x:c r="B157" s="17" t="str">
        <x:v>CUS_00114744</x:v>
      </x:c>
      <x:c r="C157" s="20" t="n">
        <x:v>45757.64236111111</x:v>
      </x:c>
      <x:c r="D157" s="17" t="str">
        <x:v>PL_STD_01</x:v>
      </x:c>
      <x:c r="E157" s="23" t="n">
        <x:v>61000</x:v>
      </x:c>
      <x:c r="F157" s="26" t="n">
        <x:v>24</x:v>
      </x:c>
      <x:c r="G157" s="17" t="str">
        <x:v>41-50</x:v>
      </x:c>
      <x:c r="H157" s="17" t="str">
        <x:v>EAST</x:v>
      </x:c>
      <x:c r="I157" s="17" t="str">
        <x:v>制造业职员</x:v>
      </x:c>
      <x:c r="J157" s="23" t="n">
        <x:v>19500</x:v>
      </x:c>
      <x:c r="K157" s="26" t="n">
        <x:v>2</x:v>
      </x:c>
      <x:c r="L157" s="17" t="str">
        <x:v>APP</x:v>
      </x:c>
    </x:row>
    <x:row r="158">
      <x:c r="A158" s="17" t="str">
        <x:v>APP2025000154</x:v>
      </x:c>
      <x:c r="B158" s="17" t="str">
        <x:v>CUS_00114841</x:v>
      </x:c>
      <x:c r="C158" s="20" t="n">
        <x:v>45700.69583333333</x:v>
      </x:c>
      <x:c r="D158" s="17" t="str">
        <x:v>PL_STD_01</x:v>
      </x:c>
      <x:c r="E158" s="23" t="n">
        <x:v>133000</x:v>
      </x:c>
      <x:c r="F158" s="26" t="n">
        <x:v>36</x:v>
      </x:c>
      <x:c r="G158" s="17" t="str">
        <x:v>51-60</x:v>
      </x:c>
      <x:c r="H158" s="17" t="str">
        <x:v>CENTRAL</x:v>
      </x:c>
      <x:c r="I158" s="17" t="str">
        <x:v>零售从业者</x:v>
      </x:c>
      <x:c r="J158" s="23" t="n">
        <x:v>17200</x:v>
      </x:c>
      <x:c r="K158" s="26" t="n">
        <x:v>6</x:v>
      </x:c>
      <x:c r="L158" s="17" t="str">
        <x:v>PARTNER</x:v>
      </x:c>
    </x:row>
    <x:row r="159">
      <x:c r="A159" s="17" t="str">
        <x:v>APP2025000155</x:v>
      </x:c>
      <x:c r="B159" s="17" t="str">
        <x:v>CUS_00114938</x:v>
      </x:c>
      <x:c r="C159" s="20" t="n">
        <x:v>45785.506944444445</x:v>
      </x:c>
      <x:c r="D159" s="17" t="str">
        <x:v>PL_STD_01</x:v>
      </x:c>
      <x:c r="E159" s="23" t="n">
        <x:v>69000</x:v>
      </x:c>
      <x:c r="F159" s="26" t="n">
        <x:v>36</x:v>
      </x:c>
      <x:c r="G159" s="17" t="str">
        <x:v>31-40</x:v>
      </x:c>
      <x:c r="H159" s="17" t="str">
        <x:v>CENTRAL</x:v>
      </x:c>
      <x:c r="I159" s="17" t="str">
        <x:v>零售从业者</x:v>
      </x:c>
      <x:c r="J159" s="23" t="n">
        <x:v>16100</x:v>
      </x:c>
      <x:c r="K159" s="26" t="n">
        <x:v>6</x:v>
      </x:c>
      <x:c r="L159" s="17" t="str">
        <x:v>WEB</x:v>
      </x:c>
    </x:row>
    <x:row r="160">
      <x:c r="A160" s="17" t="str">
        <x:v>APP2025000156</x:v>
      </x:c>
      <x:c r="B160" s="17" t="str">
        <x:v>CUS_00115035</x:v>
      </x:c>
      <x:c r="C160" s="20" t="n">
        <x:v>45790.74236111111</x:v>
      </x:c>
      <x:c r="D160" s="17" t="str">
        <x:v>PL_STD_01</x:v>
      </x:c>
      <x:c r="E160" s="23" t="n">
        <x:v>35000</x:v>
      </x:c>
      <x:c r="F160" s="26" t="n">
        <x:v>18</x:v>
      </x:c>
      <x:c r="G160" s="17" t="str">
        <x:v>41-50</x:v>
      </x:c>
      <x:c r="H160" s="17" t="str">
        <x:v>SOUTHWEST</x:v>
      </x:c>
      <x:c r="I160" s="17" t="str">
        <x:v>零售从业者</x:v>
      </x:c>
      <x:c r="J160" s="23" t="n">
        <x:v>8700</x:v>
      </x:c>
      <x:c r="K160" s="26" t="n">
        <x:v>0</x:v>
      </x:c>
      <x:c r="L160" s="17" t="str">
        <x:v>APP</x:v>
      </x:c>
    </x:row>
    <x:row r="161">
      <x:c r="A161" s="17" t="str">
        <x:v>APP2025000157</x:v>
      </x:c>
      <x:c r="B161" s="17" t="str">
        <x:v>CUS_00115132</x:v>
      </x:c>
      <x:c r="C161" s="20" t="n">
        <x:v>45780.697222222225</x:v>
      </x:c>
      <x:c r="D161" s="17" t="str">
        <x:v>PL_STD_01</x:v>
      </x:c>
      <x:c r="E161" s="23" t="n">
        <x:v>28000</x:v>
      </x:c>
      <x:c r="F161" s="26" t="n">
        <x:v>6</x:v>
      </x:c>
      <x:c r="G161" s="17" t="str">
        <x:v>51-60</x:v>
      </x:c>
      <x:c r="H161" s="17" t="str">
        <x:v>CENTRAL</x:v>
      </x:c>
      <x:c r="I161" s="17" t="str">
        <x:v>零售从业者</x:v>
      </x:c>
      <x:c r="J161" s="23" t="n">
        <x:v>27800</x:v>
      </x:c>
      <x:c r="K161" s="26" t="n">
        <x:v>4</x:v>
      </x:c>
      <x:c r="L161" s="17" t="str">
        <x:v>APP</x:v>
      </x:c>
    </x:row>
    <x:row r="162">
      <x:c r="A162" s="17" t="str">
        <x:v>APP2025000158</x:v>
      </x:c>
      <x:c r="B162" s="17" t="str">
        <x:v>CUS_00115229</x:v>
      </x:c>
      <x:c r="C162" s="20" t="n">
        <x:v>45744.657638888886</x:v>
      </x:c>
      <x:c r="D162" s="17" t="str">
        <x:v>PL_STD_01</x:v>
      </x:c>
      <x:c r="E162" s="23" t="n">
        <x:v>53000</x:v>
      </x:c>
      <x:c r="F162" s="26" t="n">
        <x:v>24</x:v>
      </x:c>
      <x:c r="G162" s="17" t="str">
        <x:v>21-30</x:v>
      </x:c>
      <x:c r="H162" s="17" t="str">
        <x:v>CENTRAL</x:v>
      </x:c>
      <x:c r="I162" s="17" t="str">
        <x:v>互联网职员</x:v>
      </x:c>
      <x:c r="J162" s="23" t="n">
        <x:v>8200</x:v>
      </x:c>
      <x:c r="K162" s="26" t="n">
        <x:v>14</x:v>
      </x:c>
      <x:c r="L162" s="17" t="str">
        <x:v>PARTNER</x:v>
      </x:c>
    </x:row>
    <x:row r="163">
      <x:c r="A163" s="17" t="str">
        <x:v>APP2025000159</x:v>
      </x:c>
      <x:c r="B163" s="17" t="str">
        <x:v>CUS_00115326</x:v>
      </x:c>
      <x:c r="C163" s="20" t="n">
        <x:v>45670.38125</x:v>
      </x:c>
      <x:c r="D163" s="17" t="str">
        <x:v>PL_STD_01</x:v>
      </x:c>
      <x:c r="E163" s="23" t="n">
        <x:v>129000</x:v>
      </x:c>
      <x:c r="F163" s="26" t="n">
        <x:v>18</x:v>
      </x:c>
      <x:c r="G163" s="17" t="str">
        <x:v>41-50</x:v>
      </x:c>
      <x:c r="H163" s="17" t="str">
        <x:v>CENTRAL</x:v>
      </x:c>
      <x:c r="I163" s="17" t="str">
        <x:v>互联网职员</x:v>
      </x:c>
      <x:c r="J163" s="23" t="n">
        <x:v>4700</x:v>
      </x:c>
      <x:c r="K163" s="26" t="n">
        <x:v>1</x:v>
      </x:c>
      <x:c r="L163" s="17" t="str">
        <x:v>PARTNER</x:v>
      </x:c>
    </x:row>
    <x:row r="164">
      <x:c r="A164" s="17" t="str">
        <x:v>APP2025000160</x:v>
      </x:c>
      <x:c r="B164" s="17" t="str">
        <x:v>CUS_00115423</x:v>
      </x:c>
      <x:c r="C164" s="20" t="n">
        <x:v>45812.63055555556</x:v>
      </x:c>
      <x:c r="D164" s="17" t="str">
        <x:v>PL_STD_01</x:v>
      </x:c>
      <x:c r="E164" s="23" t="n">
        <x:v>26000</x:v>
      </x:c>
      <x:c r="F164" s="26" t="n">
        <x:v>6</x:v>
      </x:c>
      <x:c r="G164" s="17" t="str">
        <x:v>51-60</x:v>
      </x:c>
      <x:c r="H164" s="17" t="str">
        <x:v>NORTH</x:v>
      </x:c>
      <x:c r="I164" s="17" t="str">
        <x:v>零售从业者</x:v>
      </x:c>
      <x:c r="J164" s="23" t="n">
        <x:v>12700</x:v>
      </x:c>
      <x:c r="K164" s="26" t="n">
        <x:v>13</x:v>
      </x:c>
      <x:c r="L164" s="17" t="str">
        <x:v>APP</x:v>
      </x:c>
    </x:row>
    <x:row r="165">
      <x:c r="A165" s="17" t="str">
        <x:v>APP2025000161</x:v>
      </x:c>
      <x:c r="B165" s="17" t="str">
        <x:v>CUS_00115520</x:v>
      </x:c>
      <x:c r="C165" s="20" t="n">
        <x:v>45733.51875</x:v>
      </x:c>
      <x:c r="D165" s="17" t="str">
        <x:v>PL_STD_01</x:v>
      </x:c>
      <x:c r="E165" s="23" t="n">
        <x:v>34000</x:v>
      </x:c>
      <x:c r="F165" s="26" t="n">
        <x:v>6</x:v>
      </x:c>
      <x:c r="G165" s="17" t="str">
        <x:v>41-50</x:v>
      </x:c>
      <x:c r="H165" s="17" t="str">
        <x:v>SOUTH</x:v>
      </x:c>
      <x:c r="I165" s="17" t="str">
        <x:v>互联网职员</x:v>
      </x:c>
      <x:c r="J165" s="23" t="n">
        <x:v>19000</x:v>
      </x:c>
      <x:c r="K165" s="26" t="n">
        <x:v>8</x:v>
      </x:c>
      <x:c r="L165" s="17" t="str">
        <x:v>WEB</x:v>
      </x:c>
    </x:row>
    <x:row r="166">
      <x:c r="A166" s="17" t="str">
        <x:v>APP2025000162</x:v>
      </x:c>
      <x:c r="B166" s="17" t="str">
        <x:v>CUS_00115617</x:v>
      </x:c>
      <x:c r="C166" s="20" t="n">
        <x:v>45791.472916666666</x:v>
      </x:c>
      <x:c r="D166" s="17" t="str">
        <x:v>PL_STD_01</x:v>
      </x:c>
      <x:c r="E166" s="23" t="n">
        <x:v>42000</x:v>
      </x:c>
      <x:c r="F166" s="26" t="n">
        <x:v>24</x:v>
      </x:c>
      <x:c r="G166" s="17" t="str">
        <x:v>31-40</x:v>
      </x:c>
      <x:c r="H166" s="17" t="str">
        <x:v>NORTH</x:v>
      </x:c>
      <x:c r="I166" s="17" t="str">
        <x:v>互联网职员</x:v>
      </x:c>
      <x:c r="J166" s="23" t="n">
        <x:v>17700</x:v>
      </x:c>
      <x:c r="K166" s="26" t="n">
        <x:v>13</x:v>
      </x:c>
      <x:c r="L166" s="17" t="str">
        <x:v>WEB</x:v>
      </x:c>
    </x:row>
    <x:row r="167">
      <x:c r="A167" s="17" t="str">
        <x:v>APP2025000163</x:v>
      </x:c>
      <x:c r="B167" s="17" t="str">
        <x:v>CUS_00115714</x:v>
      </x:c>
      <x:c r="C167" s="20" t="n">
        <x:v>45677.56597222222</x:v>
      </x:c>
      <x:c r="D167" s="17" t="str">
        <x:v>PL_STD_01</x:v>
      </x:c>
      <x:c r="E167" s="23" t="n">
        <x:v>85000</x:v>
      </x:c>
      <x:c r="F167" s="26" t="n">
        <x:v>6</x:v>
      </x:c>
      <x:c r="G167" s="17" t="str">
        <x:v>21-30</x:v>
      </x:c>
      <x:c r="H167" s="17" t="str">
        <x:v>NORTH</x:v>
      </x:c>
      <x:c r="I167" s="17" t="str">
        <x:v>个体经营</x:v>
      </x:c>
      <x:c r="J167" s="23" t="n">
        <x:v>28700</x:v>
      </x:c>
      <x:c r="K167" s="26" t="n">
        <x:v>2</x:v>
      </x:c>
      <x:c r="L167" s="17" t="str">
        <x:v>WEB</x:v>
      </x:c>
    </x:row>
    <x:row r="168">
      <x:c r="A168" s="17" t="str">
        <x:v>APP2025000164</x:v>
      </x:c>
      <x:c r="B168" s="17" t="str">
        <x:v>CUS_00115811</x:v>
      </x:c>
      <x:c r="C168" s="20" t="n">
        <x:v>45709.44375</x:v>
      </x:c>
      <x:c r="D168" s="17" t="str">
        <x:v>PL_STD_01</x:v>
      </x:c>
      <x:c r="E168" s="23" t="n">
        <x:v>81000</x:v>
      </x:c>
      <x:c r="F168" s="26" t="n">
        <x:v>12</x:v>
      </x:c>
      <x:c r="G168" s="17" t="str">
        <x:v>31-40</x:v>
      </x:c>
      <x:c r="H168" s="17" t="str">
        <x:v>SOUTHWEST</x:v>
      </x:c>
      <x:c r="I168" s="17" t="str">
        <x:v>公共服务</x:v>
      </x:c>
      <x:c r="J168" s="23" t="n">
        <x:v>16100</x:v>
      </x:c>
      <x:c r="K168" s="26" t="n">
        <x:v>1</x:v>
      </x:c>
      <x:c r="L168" s="17" t="str">
        <x:v>WEB</x:v>
      </x:c>
    </x:row>
    <x:row r="169">
      <x:c r="A169" s="17" t="str">
        <x:v>APP2025000165</x:v>
      </x:c>
      <x:c r="B169" s="17" t="str">
        <x:v>CUS_00115908</x:v>
      </x:c>
      <x:c r="C169" s="20" t="n">
        <x:v>45836.55763888889</x:v>
      </x:c>
      <x:c r="D169" s="17" t="str">
        <x:v>PL_STD_01</x:v>
      </x:c>
      <x:c r="E169" s="23" t="n">
        <x:v>33000</x:v>
      </x:c>
      <x:c r="F169" s="26" t="n">
        <x:v>12</x:v>
      </x:c>
      <x:c r="G169" s="17" t="str">
        <x:v>41-50</x:v>
      </x:c>
      <x:c r="H169" s="17" t="str">
        <x:v>SOUTH</x:v>
      </x:c>
      <x:c r="I169" s="17" t="str">
        <x:v>零售从业者</x:v>
      </x:c>
      <x:c r="J169" s="23" t="n">
        <x:v>23400</x:v>
      </x:c>
      <x:c r="K169" s="26" t="n">
        <x:v>13</x:v>
      </x:c>
      <x:c r="L169" s="17" t="str">
        <x:v>PARTNER</x:v>
      </x:c>
    </x:row>
    <x:row r="170">
      <x:c r="A170" s="17" t="str">
        <x:v>APP2025000166</x:v>
      </x:c>
      <x:c r="B170" s="17" t="str">
        <x:v>CUS_00116005</x:v>
      </x:c>
      <x:c r="C170" s="20" t="n">
        <x:v>45712.65416666667</x:v>
      </x:c>
      <x:c r="D170" s="17" t="str">
        <x:v>PL_STD_01</x:v>
      </x:c>
      <x:c r="E170" s="23" t="n">
        <x:v>83000</x:v>
      </x:c>
      <x:c r="F170" s="26" t="n">
        <x:v>6</x:v>
      </x:c>
      <x:c r="G170" s="17" t="str">
        <x:v>41-50</x:v>
      </x:c>
      <x:c r="H170" s="17" t="str">
        <x:v>EAST</x:v>
      </x:c>
      <x:c r="I170" s="17" t="str">
        <x:v>个体经营</x:v>
      </x:c>
      <x:c r="J170" s="23" t="n">
        <x:v>18300</x:v>
      </x:c>
      <x:c r="K170" s="26" t="n">
        <x:v>0</x:v>
      </x:c>
      <x:c r="L170" s="17" t="str">
        <x:v>WEB</x:v>
      </x:c>
    </x:row>
    <x:row r="171">
      <x:c r="A171" s="17" t="str">
        <x:v>APP2025000167</x:v>
      </x:c>
      <x:c r="B171" s="17" t="str">
        <x:v>CUS_00116102</x:v>
      </x:c>
      <x:c r="C171" s="20" t="n">
        <x:v>45824.60833333333</x:v>
      </x:c>
      <x:c r="D171" s="17" t="str">
        <x:v>PL_STD_01</x:v>
      </x:c>
      <x:c r="E171" s="23" t="n">
        <x:v>18000</x:v>
      </x:c>
      <x:c r="F171" s="26" t="n">
        <x:v>12</x:v>
      </x:c>
      <x:c r="G171" s="17" t="str">
        <x:v>31-40</x:v>
      </x:c>
      <x:c r="H171" s="17" t="str">
        <x:v>EAST</x:v>
      </x:c>
      <x:c r="I171" s="17" t="str">
        <x:v>零售从业者</x:v>
      </x:c>
      <x:c r="J171" s="23" t="n">
        <x:v>18400</x:v>
      </x:c>
      <x:c r="K171" s="26" t="n">
        <x:v>11</x:v>
      </x:c>
      <x:c r="L171" s="17" t="str">
        <x:v>WEB</x:v>
      </x:c>
    </x:row>
    <x:row r="172">
      <x:c r="A172" s="17" t="str">
        <x:v>APP2025000168</x:v>
      </x:c>
      <x:c r="B172" s="17" t="str">
        <x:v>CUS_00116199</x:v>
      </x:c>
      <x:c r="C172" s="20" t="n">
        <x:v>45754.62222222222</x:v>
      </x:c>
      <x:c r="D172" s="17" t="str">
        <x:v>PL_STD_01</x:v>
      </x:c>
      <x:c r="E172" s="23" t="n">
        <x:v>41000</x:v>
      </x:c>
      <x:c r="F172" s="26" t="n">
        <x:v>24</x:v>
      </x:c>
      <x:c r="G172" s="17" t="str">
        <x:v>21-30</x:v>
      </x:c>
      <x:c r="H172" s="17" t="str">
        <x:v>NORTH</x:v>
      </x:c>
      <x:c r="I172" s="17" t="str">
        <x:v>互联网职员</x:v>
      </x:c>
      <x:c r="J172" s="23" t="n">
        <x:v>27100</x:v>
      </x:c>
      <x:c r="K172" s="26" t="n">
        <x:v>0</x:v>
      </x:c>
      <x:c r="L172" s="17" t="str">
        <x:v>APP</x:v>
      </x:c>
    </x:row>
    <x:row r="173">
      <x:c r="A173" s="17" t="str">
        <x:v>APP2025000169</x:v>
      </x:c>
      <x:c r="B173" s="17" t="str">
        <x:v>CUS_00116296</x:v>
      </x:c>
      <x:c r="C173" s="20" t="n">
        <x:v>45758.711805555555</x:v>
      </x:c>
      <x:c r="D173" s="17" t="str">
        <x:v>PL_STD_01</x:v>
      </x:c>
      <x:c r="E173" s="23" t="n">
        <x:v>66000</x:v>
      </x:c>
      <x:c r="F173" s="26" t="n">
        <x:v>24</x:v>
      </x:c>
      <x:c r="G173" s="17" t="str">
        <x:v>21-30</x:v>
      </x:c>
      <x:c r="H173" s="17" t="str">
        <x:v>EAST</x:v>
      </x:c>
      <x:c r="I173" s="17" t="str">
        <x:v>制造业职员</x:v>
      </x:c>
      <x:c r="J173" s="23" t="n">
        <x:v>15900</x:v>
      </x:c>
      <x:c r="K173" s="26" t="n">
        <x:v>10</x:v>
      </x:c>
      <x:c r="L173" s="17" t="str">
        <x:v>PARTNER</x:v>
      </x:c>
    </x:row>
    <x:row r="174">
      <x:c r="A174" s="17" t="str">
        <x:v>APP2025000170</x:v>
      </x:c>
      <x:c r="B174" s="17" t="str">
        <x:v>CUS_00116393</x:v>
      </x:c>
      <x:c r="C174" s="20" t="n">
        <x:v>45718.51180555556</x:v>
      </x:c>
      <x:c r="D174" s="17" t="str">
        <x:v>PL_STD_01</x:v>
      </x:c>
      <x:c r="E174" s="23" t="n">
        <x:v>119000</x:v>
      </x:c>
      <x:c r="F174" s="26" t="n">
        <x:v>6</x:v>
      </x:c>
      <x:c r="G174" s="17" t="str">
        <x:v>31-40</x:v>
      </x:c>
      <x:c r="H174" s="17" t="str">
        <x:v>SOUTH</x:v>
      </x:c>
      <x:c r="I174" s="17" t="str">
        <x:v>互联网职员</x:v>
      </x:c>
      <x:c r="J174" s="23" t="n">
        <x:v>21400</x:v>
      </x:c>
      <x:c r="K174" s="26" t="n">
        <x:v>12</x:v>
      </x:c>
      <x:c r="L174" s="17" t="str">
        <x:v>APP</x:v>
      </x:c>
    </x:row>
    <x:row r="175">
      <x:c r="A175" s="17" t="str">
        <x:v>APP2025000171</x:v>
      </x:c>
      <x:c r="B175" s="17" t="str">
        <x:v>CUS_00116490</x:v>
      </x:c>
      <x:c r="C175" s="20" t="n">
        <x:v>45688.45486111111</x:v>
      </x:c>
      <x:c r="D175" s="17" t="str">
        <x:v>PL_STD_01</x:v>
      </x:c>
      <x:c r="E175" s="23" t="n">
        <x:v>14000</x:v>
      </x:c>
      <x:c r="F175" s="26" t="n">
        <x:v>18</x:v>
      </x:c>
      <x:c r="G175" s="17" t="str">
        <x:v>51-60</x:v>
      </x:c>
      <x:c r="H175" s="17" t="str">
        <x:v>SOUTHWEST</x:v>
      </x:c>
      <x:c r="I175" s="17" t="str">
        <x:v>公共服务</x:v>
      </x:c>
      <x:c r="J175" s="23" t="n">
        <x:v>21600</x:v>
      </x:c>
      <x:c r="K175" s="26" t="n">
        <x:v>11</x:v>
      </x:c>
      <x:c r="L175" s="17" t="str">
        <x:v>PARTNER</x:v>
      </x:c>
    </x:row>
    <x:row r="176">
      <x:c r="A176" s="17" t="str">
        <x:v>APP2025000172</x:v>
      </x:c>
      <x:c r="B176" s="17" t="str">
        <x:v>CUS_00116587</x:v>
      </x:c>
      <x:c r="C176" s="20" t="n">
        <x:v>45737.427083333336</x:v>
      </x:c>
      <x:c r="D176" s="17" t="str">
        <x:v>PL_STD_01</x:v>
      </x:c>
      <x:c r="E176" s="23" t="n">
        <x:v>126000</x:v>
      </x:c>
      <x:c r="F176" s="26" t="n">
        <x:v>36</x:v>
      </x:c>
      <x:c r="G176" s="17" t="str">
        <x:v>31-40</x:v>
      </x:c>
      <x:c r="H176" s="17" t="str">
        <x:v>NORTH</x:v>
      </x:c>
      <x:c r="I176" s="17" t="str">
        <x:v>公共服务</x:v>
      </x:c>
      <x:c r="J176" s="23" t="n">
        <x:v>29400</x:v>
      </x:c>
      <x:c r="K176" s="26" t="n">
        <x:v>11</x:v>
      </x:c>
      <x:c r="L176" s="17" t="str">
        <x:v>PARTNER</x:v>
      </x:c>
    </x:row>
    <x:row r="177">
      <x:c r="A177" s="17" t="str">
        <x:v>APP2025000173</x:v>
      </x:c>
      <x:c r="B177" s="17" t="str">
        <x:v>CUS_00116684</x:v>
      </x:c>
      <x:c r="C177" s="20" t="n">
        <x:v>45744.36319444444</x:v>
      </x:c>
      <x:c r="D177" s="17" t="str">
        <x:v>PL_STD_01</x:v>
      </x:c>
      <x:c r="E177" s="23" t="n">
        <x:v>126000</x:v>
      </x:c>
      <x:c r="F177" s="26" t="n">
        <x:v>6</x:v>
      </x:c>
      <x:c r="G177" s="17" t="str">
        <x:v>41-50</x:v>
      </x:c>
      <x:c r="H177" s="17" t="str">
        <x:v>NORTH</x:v>
      </x:c>
      <x:c r="I177" s="17" t="str">
        <x:v>公共服务</x:v>
      </x:c>
      <x:c r="J177" s="23" t="n">
        <x:v>9200</x:v>
      </x:c>
      <x:c r="K177" s="26" t="n">
        <x:v>8</x:v>
      </x:c>
      <x:c r="L177" s="17" t="str">
        <x:v>PARTNER</x:v>
      </x:c>
    </x:row>
    <x:row r="178">
      <x:c r="A178" s="17" t="str">
        <x:v>APP2025000174</x:v>
      </x:c>
      <x:c r="B178" s="17" t="str">
        <x:v>CUS_00116781</x:v>
      </x:c>
      <x:c r="C178" s="20" t="n">
        <x:v>45679.629166666666</x:v>
      </x:c>
      <x:c r="D178" s="17" t="str">
        <x:v>PL_STD_01</x:v>
      </x:c>
      <x:c r="E178" s="23" t="n">
        <x:v>43000</x:v>
      </x:c>
      <x:c r="F178" s="26" t="n">
        <x:v>18</x:v>
      </x:c>
      <x:c r="G178" s="17" t="str">
        <x:v>31-40</x:v>
      </x:c>
      <x:c r="H178" s="17" t="str">
        <x:v>NORTH</x:v>
      </x:c>
      <x:c r="I178" s="17" t="str">
        <x:v>互联网职员</x:v>
      </x:c>
      <x:c r="J178" s="23" t="n">
        <x:v>17300</x:v>
      </x:c>
      <x:c r="K178" s="26" t="n">
        <x:v>10</x:v>
      </x:c>
      <x:c r="L178" s="17" t="str">
        <x:v>PARTNER</x:v>
      </x:c>
    </x:row>
    <x:row r="179">
      <x:c r="A179" s="17" t="str">
        <x:v>APP2025000175</x:v>
      </x:c>
      <x:c r="B179" s="17" t="str">
        <x:v>CUS_00116878</x:v>
      </x:c>
      <x:c r="C179" s="20" t="n">
        <x:v>45754.52847222222</x:v>
      </x:c>
      <x:c r="D179" s="17" t="str">
        <x:v>PL_STD_01</x:v>
      </x:c>
      <x:c r="E179" s="23" t="n">
        <x:v>14000</x:v>
      </x:c>
      <x:c r="F179" s="26" t="n">
        <x:v>12</x:v>
      </x:c>
      <x:c r="G179" s="17" t="str">
        <x:v>41-50</x:v>
      </x:c>
      <x:c r="H179" s="17" t="str">
        <x:v>SOUTH</x:v>
      </x:c>
      <x:c r="I179" s="17" t="str">
        <x:v>互联网职员</x:v>
      </x:c>
      <x:c r="J179" s="23" t="n">
        <x:v>5200</x:v>
      </x:c>
      <x:c r="K179" s="26" t="n">
        <x:v>11</x:v>
      </x:c>
      <x:c r="L179" s="17" t="str">
        <x:v>WEB</x:v>
      </x:c>
    </x:row>
    <x:row r="180">
      <x:c r="A180" s="17" t="str">
        <x:v>APP2025000176</x:v>
      </x:c>
      <x:c r="B180" s="17" t="str">
        <x:v>CUS_00116975</x:v>
      </x:c>
      <x:c r="C180" s="20" t="n">
        <x:v>45745.60763888889</x:v>
      </x:c>
      <x:c r="D180" s="17" t="str">
        <x:v>PL_STD_01</x:v>
      </x:c>
      <x:c r="E180" s="23" t="n">
        <x:v>130000</x:v>
      </x:c>
      <x:c r="F180" s="26" t="n">
        <x:v>36</x:v>
      </x:c>
      <x:c r="G180" s="17" t="str">
        <x:v>31-40</x:v>
      </x:c>
      <x:c r="H180" s="17" t="str">
        <x:v>EAST</x:v>
      </x:c>
      <x:c r="I180" s="17" t="str">
        <x:v>零售从业者</x:v>
      </x:c>
      <x:c r="J180" s="23" t="n">
        <x:v>21100</x:v>
      </x:c>
      <x:c r="K180" s="26" t="n">
        <x:v>5</x:v>
      </x:c>
      <x:c r="L180" s="17" t="str">
        <x:v>APP</x:v>
      </x:c>
    </x:row>
    <x:row r="181">
      <x:c r="A181" s="17" t="str">
        <x:v>APP2025000177</x:v>
      </x:c>
      <x:c r="B181" s="17" t="str">
        <x:v>CUS_00117072</x:v>
      </x:c>
      <x:c r="C181" s="20" t="n">
        <x:v>45728.58541666667</x:v>
      </x:c>
      <x:c r="D181" s="17" t="str">
        <x:v>PL_STD_01</x:v>
      </x:c>
      <x:c r="E181" s="23" t="n">
        <x:v>99000</x:v>
      </x:c>
      <x:c r="F181" s="26" t="n">
        <x:v>6</x:v>
      </x:c>
      <x:c r="G181" s="17" t="str">
        <x:v>41-50</x:v>
      </x:c>
      <x:c r="H181" s="17" t="str">
        <x:v>NORTH</x:v>
      </x:c>
      <x:c r="I181" s="17" t="str">
        <x:v>公共服务</x:v>
      </x:c>
      <x:c r="J181" s="23" t="n">
        <x:v>6200</x:v>
      </x:c>
      <x:c r="K181" s="26" t="n">
        <x:v>5</x:v>
      </x:c>
      <x:c r="L181" s="17" t="str">
        <x:v>PARTNER</x:v>
      </x:c>
    </x:row>
    <x:row r="182">
      <x:c r="A182" s="17" t="str">
        <x:v>APP2025000178</x:v>
      </x:c>
      <x:c r="B182" s="17" t="str">
        <x:v>CUS_00117169</x:v>
      </x:c>
      <x:c r="C182" s="20" t="n">
        <x:v>45796.66527777778</x:v>
      </x:c>
      <x:c r="D182" s="17" t="str">
        <x:v>PL_STD_01</x:v>
      </x:c>
      <x:c r="E182" s="23" t="n">
        <x:v>101000</x:v>
      </x:c>
      <x:c r="F182" s="26" t="n">
        <x:v>36</x:v>
      </x:c>
      <x:c r="G182" s="17" t="str">
        <x:v>41-50</x:v>
      </x:c>
      <x:c r="H182" s="17" t="str">
        <x:v>SOUTH</x:v>
      </x:c>
      <x:c r="I182" s="17" t="str">
        <x:v>公共服务</x:v>
      </x:c>
      <x:c r="J182" s="23" t="n">
        <x:v>24400</x:v>
      </x:c>
      <x:c r="K182" s="26" t="n">
        <x:v>9</x:v>
      </x:c>
      <x:c r="L182" s="17" t="str">
        <x:v>APP</x:v>
      </x:c>
    </x:row>
    <x:row r="183">
      <x:c r="A183" s="17" t="str">
        <x:v>APP2025000179</x:v>
      </x:c>
      <x:c r="B183" s="17" t="str">
        <x:v>CUS_00117266</x:v>
      </x:c>
      <x:c r="C183" s="20" t="n">
        <x:v>45809.42361111111</x:v>
      </x:c>
      <x:c r="D183" s="17" t="str">
        <x:v>PL_STD_01</x:v>
      </x:c>
      <x:c r="E183" s="23" t="n">
        <x:v>49000</x:v>
      </x:c>
      <x:c r="F183" s="26" t="n">
        <x:v>12</x:v>
      </x:c>
      <x:c r="G183" s="17" t="str">
        <x:v>31-40</x:v>
      </x:c>
      <x:c r="H183" s="17" t="str">
        <x:v>EAST</x:v>
      </x:c>
      <x:c r="I183" s="17" t="str">
        <x:v>互联网职员</x:v>
      </x:c>
      <x:c r="J183" s="23" t="n">
        <x:v>8600</x:v>
      </x:c>
      <x:c r="K183" s="26" t="n">
        <x:v>0</x:v>
      </x:c>
      <x:c r="L183" s="17" t="str">
        <x:v>APP</x:v>
      </x:c>
    </x:row>
    <x:row r="184">
      <x:c r="A184" s="17" t="str">
        <x:v>APP2025000180</x:v>
      </x:c>
      <x:c r="B184" s="17" t="str">
        <x:v>CUS_00117363</x:v>
      </x:c>
      <x:c r="C184" s="20" t="n">
        <x:v>45778.41736111111</x:v>
      </x:c>
      <x:c r="D184" s="17" t="str">
        <x:v>PL_STD_01</x:v>
      </x:c>
      <x:c r="E184" s="23" t="n">
        <x:v>134000</x:v>
      </x:c>
      <x:c r="F184" s="26" t="n">
        <x:v>36</x:v>
      </x:c>
      <x:c r="G184" s="17" t="str">
        <x:v>21-30</x:v>
      </x:c>
      <x:c r="H184" s="17" t="str">
        <x:v>EAST</x:v>
      </x:c>
      <x:c r="I184" s="17" t="str">
        <x:v>个体经营</x:v>
      </x:c>
      <x:c r="J184" s="23" t="n">
        <x:v>29700</x:v>
      </x:c>
      <x:c r="K184" s="26" t="n">
        <x:v>9</x:v>
      </x:c>
      <x:c r="L184" s="17" t="str">
        <x:v>PARTNER</x:v>
      </x:c>
    </x:row>
    <x:row r="185">
      <x:c r="A185" s="17" t="str">
        <x:v>APP2025000181</x:v>
      </x:c>
      <x:c r="B185" s="17" t="str">
        <x:v>CUS_00117460</x:v>
      </x:c>
      <x:c r="C185" s="20" t="n">
        <x:v>45825.614583333336</x:v>
      </x:c>
      <x:c r="D185" s="17" t="str">
        <x:v>PL_STD_01</x:v>
      </x:c>
      <x:c r="E185" s="23" t="n">
        <x:v>102000</x:v>
      </x:c>
      <x:c r="F185" s="26" t="n">
        <x:v>6</x:v>
      </x:c>
      <x:c r="G185" s="17" t="str">
        <x:v>31-40</x:v>
      </x:c>
      <x:c r="H185" s="17" t="str">
        <x:v>CENTRAL</x:v>
      </x:c>
      <x:c r="I185" s="17" t="str">
        <x:v>公共服务</x:v>
      </x:c>
      <x:c r="J185" s="23" t="n">
        <x:v>17800</x:v>
      </x:c>
      <x:c r="K185" s="26" t="n">
        <x:v>9</x:v>
      </x:c>
      <x:c r="L185" s="17" t="str">
        <x:v>APP</x:v>
      </x:c>
    </x:row>
    <x:row r="186">
      <x:c r="A186" s="17" t="str">
        <x:v>APP2025000182</x:v>
      </x:c>
      <x:c r="B186" s="17" t="str">
        <x:v>CUS_00117557</x:v>
      </x:c>
      <x:c r="C186" s="20" t="n">
        <x:v>45790.54027777778</x:v>
      </x:c>
      <x:c r="D186" s="17" t="str">
        <x:v>PL_STD_01</x:v>
      </x:c>
      <x:c r="E186" s="23" t="n">
        <x:v>118000</x:v>
      </x:c>
      <x:c r="F186" s="26" t="n">
        <x:v>12</x:v>
      </x:c>
      <x:c r="G186" s="17" t="str">
        <x:v>51-60</x:v>
      </x:c>
      <x:c r="H186" s="17" t="str">
        <x:v>SOUTH</x:v>
      </x:c>
      <x:c r="I186" s="17" t="str">
        <x:v>公共服务</x:v>
      </x:c>
      <x:c r="J186" s="23" t="n">
        <x:v>22700</x:v>
      </x:c>
      <x:c r="K186" s="26" t="n">
        <x:v>2</x:v>
      </x:c>
      <x:c r="L186" s="17" t="str">
        <x:v>APP</x:v>
      </x:c>
    </x:row>
    <x:row r="187">
      <x:c r="A187" s="17" t="str">
        <x:v>APP2025000183</x:v>
      </x:c>
      <x:c r="B187" s="17" t="str">
        <x:v>CUS_00117654</x:v>
      </x:c>
      <x:c r="C187" s="20" t="n">
        <x:v>45666.40972222222</x:v>
      </x:c>
      <x:c r="D187" s="17" t="str">
        <x:v>PL_STD_01</x:v>
      </x:c>
      <x:c r="E187" s="23" t="n">
        <x:v>58000</x:v>
      </x:c>
      <x:c r="F187" s="26" t="n">
        <x:v>24</x:v>
      </x:c>
      <x:c r="G187" s="17" t="str">
        <x:v>41-50</x:v>
      </x:c>
      <x:c r="H187" s="17" t="str">
        <x:v>EAST</x:v>
      </x:c>
      <x:c r="I187" s="17" t="str">
        <x:v>物流从业者</x:v>
      </x:c>
      <x:c r="J187" s="23" t="n">
        <x:v>29100</x:v>
      </x:c>
      <x:c r="K187" s="26" t="n">
        <x:v>3</x:v>
      </x:c>
      <x:c r="L187" s="17" t="str">
        <x:v>PARTNER</x:v>
      </x:c>
    </x:row>
    <x:row r="188">
      <x:c r="A188" s="17" t="str">
        <x:v>APP2025000184</x:v>
      </x:c>
      <x:c r="B188" s="17" t="str">
        <x:v>CUS_00117751</x:v>
      </x:c>
      <x:c r="C188" s="20" t="n">
        <x:v>45832.464583333334</x:v>
      </x:c>
      <x:c r="D188" s="17" t="str">
        <x:v>PL_STD_01</x:v>
      </x:c>
      <x:c r="E188" s="23" t="n">
        <x:v>142000</x:v>
      </x:c>
      <x:c r="F188" s="26" t="n">
        <x:v>36</x:v>
      </x:c>
      <x:c r="G188" s="17" t="str">
        <x:v>51-60</x:v>
      </x:c>
      <x:c r="H188" s="17" t="str">
        <x:v>CENTRAL</x:v>
      </x:c>
      <x:c r="I188" s="17" t="str">
        <x:v>个体经营</x:v>
      </x:c>
      <x:c r="J188" s="23" t="n">
        <x:v>26700</x:v>
      </x:c>
      <x:c r="K188" s="26" t="n">
        <x:v>11</x:v>
      </x:c>
      <x:c r="L188" s="17" t="str">
        <x:v>APP</x:v>
      </x:c>
    </x:row>
    <x:row r="189">
      <x:c r="A189" s="17" t="str">
        <x:v>APP2025000185</x:v>
      </x:c>
      <x:c r="B189" s="17" t="str">
        <x:v>CUS_00117848</x:v>
      </x:c>
      <x:c r="C189" s="20" t="n">
        <x:v>45736.339583333334</x:v>
      </x:c>
      <x:c r="D189" s="17" t="str">
        <x:v>PL_STD_01</x:v>
      </x:c>
      <x:c r="E189" s="23" t="n">
        <x:v>83000</x:v>
      </x:c>
      <x:c r="F189" s="26" t="n">
        <x:v>6</x:v>
      </x:c>
      <x:c r="G189" s="17" t="str">
        <x:v>21-30</x:v>
      </x:c>
      <x:c r="H189" s="17" t="str">
        <x:v>EAST</x:v>
      </x:c>
      <x:c r="I189" s="17" t="str">
        <x:v>物流从业者</x:v>
      </x:c>
      <x:c r="J189" s="23" t="n">
        <x:v>24200</x:v>
      </x:c>
      <x:c r="K189" s="26" t="n">
        <x:v>9</x:v>
      </x:c>
      <x:c r="L189" s="17" t="str">
        <x:v>APP</x:v>
      </x:c>
    </x:row>
    <x:row r="190">
      <x:c r="A190" s="17" t="str">
        <x:v>APP2025000186</x:v>
      </x:c>
      <x:c r="B190" s="17" t="str">
        <x:v>CUS_00117945</x:v>
      </x:c>
      <x:c r="C190" s="20" t="n">
        <x:v>45752.3625</x:v>
      </x:c>
      <x:c r="D190" s="17" t="str">
        <x:v>PL_STD_01</x:v>
      </x:c>
      <x:c r="E190" s="23" t="n">
        <x:v>39000</x:v>
      </x:c>
      <x:c r="F190" s="26" t="n">
        <x:v>36</x:v>
      </x:c>
      <x:c r="G190" s="17" t="str">
        <x:v>41-50</x:v>
      </x:c>
      <x:c r="H190" s="17" t="str">
        <x:v>NORTH</x:v>
      </x:c>
      <x:c r="I190" s="17" t="str">
        <x:v>制造业职员</x:v>
      </x:c>
      <x:c r="J190" s="23" t="n">
        <x:v>25500</x:v>
      </x:c>
      <x:c r="K190" s="26" t="n">
        <x:v>1</x:v>
      </x:c>
      <x:c r="L190" s="17" t="str">
        <x:v>APP</x:v>
      </x:c>
    </x:row>
    <x:row r="191">
      <x:c r="A191" s="17" t="str">
        <x:v>APP2025000187</x:v>
      </x:c>
      <x:c r="B191" s="17" t="str">
        <x:v>CUS_00118042</x:v>
      </x:c>
      <x:c r="C191" s="20" t="n">
        <x:v>45682.51736111111</x:v>
      </x:c>
      <x:c r="D191" s="17" t="str">
        <x:v>PL_STD_01</x:v>
      </x:c>
      <x:c r="E191" s="23" t="n">
        <x:v>17000</x:v>
      </x:c>
      <x:c r="F191" s="26" t="n">
        <x:v>6</x:v>
      </x:c>
      <x:c r="G191" s="17" t="str">
        <x:v>41-50</x:v>
      </x:c>
      <x:c r="H191" s="17" t="str">
        <x:v>SOUTH</x:v>
      </x:c>
      <x:c r="I191" s="17" t="str">
        <x:v>互联网职员</x:v>
      </x:c>
      <x:c r="J191" s="23" t="n">
        <x:v>8200</x:v>
      </x:c>
      <x:c r="K191" s="26" t="n">
        <x:v>8</x:v>
      </x:c>
      <x:c r="L191" s="17" t="str">
        <x:v>WEB</x:v>
      </x:c>
    </x:row>
    <x:row r="192">
      <x:c r="A192" s="17" t="str">
        <x:v>APP2025000188</x:v>
      </x:c>
      <x:c r="B192" s="17" t="str">
        <x:v>CUS_00118139</x:v>
      </x:c>
      <x:c r="C192" s="20" t="n">
        <x:v>45832.65</x:v>
      </x:c>
      <x:c r="D192" s="17" t="str">
        <x:v>PL_STD_01</x:v>
      </x:c>
      <x:c r="E192" s="23" t="n">
        <x:v>144000</x:v>
      </x:c>
      <x:c r="F192" s="26" t="n">
        <x:v>36</x:v>
      </x:c>
      <x:c r="G192" s="17" t="str">
        <x:v>51-60</x:v>
      </x:c>
      <x:c r="H192" s="17" t="str">
        <x:v>NORTH</x:v>
      </x:c>
      <x:c r="I192" s="17" t="str">
        <x:v>互联网职员</x:v>
      </x:c>
      <x:c r="J192" s="23" t="n">
        <x:v>26000</x:v>
      </x:c>
      <x:c r="K192" s="26" t="n">
        <x:v>4</x:v>
      </x:c>
      <x:c r="L192" s="17" t="str">
        <x:v>PARTNER</x:v>
      </x:c>
    </x:row>
    <x:row r="193">
      <x:c r="A193" s="17" t="str">
        <x:v>APP2025000189</x:v>
      </x:c>
      <x:c r="B193" s="17" t="str">
        <x:v>CUS_00118236</x:v>
      </x:c>
      <x:c r="C193" s="20" t="n">
        <x:v>45697.49652777778</x:v>
      </x:c>
      <x:c r="D193" s="17" t="str">
        <x:v>PL_STD_01</x:v>
      </x:c>
      <x:c r="E193" s="23" t="n">
        <x:v>80000</x:v>
      </x:c>
      <x:c r="F193" s="26" t="n">
        <x:v>36</x:v>
      </x:c>
      <x:c r="G193" s="17" t="str">
        <x:v>51-60</x:v>
      </x:c>
      <x:c r="H193" s="17" t="str">
        <x:v>SOUTH</x:v>
      </x:c>
      <x:c r="I193" s="17" t="str">
        <x:v>制造业职员</x:v>
      </x:c>
      <x:c r="J193" s="23" t="n">
        <x:v>20100</x:v>
      </x:c>
      <x:c r="K193" s="26" t="n">
        <x:v>11</x:v>
      </x:c>
      <x:c r="L193" s="17" t="str">
        <x:v>WEB</x:v>
      </x:c>
    </x:row>
    <x:row r="194">
      <x:c r="A194" s="17" t="str">
        <x:v>APP2025000190</x:v>
      </x:c>
      <x:c r="B194" s="17" t="str">
        <x:v>CUS_00118333</x:v>
      </x:c>
      <x:c r="C194" s="20" t="n">
        <x:v>45799.73263888889</x:v>
      </x:c>
      <x:c r="D194" s="17" t="str">
        <x:v>PL_STD_01</x:v>
      </x:c>
      <x:c r="E194" s="23" t="n">
        <x:v>113000</x:v>
      </x:c>
      <x:c r="F194" s="26" t="n">
        <x:v>6</x:v>
      </x:c>
      <x:c r="G194" s="17" t="str">
        <x:v>21-30</x:v>
      </x:c>
      <x:c r="H194" s="17" t="str">
        <x:v>CENTRAL</x:v>
      </x:c>
      <x:c r="I194" s="17" t="str">
        <x:v>物流从业者</x:v>
      </x:c>
      <x:c r="J194" s="23" t="n">
        <x:v>6600</x:v>
      </x:c>
      <x:c r="K194" s="26" t="n">
        <x:v>15</x:v>
      </x:c>
      <x:c r="L194" s="17" t="str">
        <x:v>PARTNER</x:v>
      </x:c>
    </x:row>
    <x:row r="195">
      <x:c r="A195" s="17" t="str">
        <x:v>APP2025000191</x:v>
      </x:c>
      <x:c r="B195" s="17" t="str">
        <x:v>CUS_00118430</x:v>
      </x:c>
      <x:c r="C195" s="20" t="n">
        <x:v>45776.63125</x:v>
      </x:c>
      <x:c r="D195" s="17" t="str">
        <x:v>PL_STD_01</x:v>
      </x:c>
      <x:c r="E195" s="23" t="n">
        <x:v>144000</x:v>
      </x:c>
      <x:c r="F195" s="26" t="n">
        <x:v>18</x:v>
      </x:c>
      <x:c r="G195" s="17" t="str">
        <x:v>21-30</x:v>
      </x:c>
      <x:c r="H195" s="17" t="str">
        <x:v>CENTRAL</x:v>
      </x:c>
      <x:c r="I195" s="17" t="str">
        <x:v>制造业职员</x:v>
      </x:c>
      <x:c r="J195" s="23" t="n">
        <x:v>13400</x:v>
      </x:c>
      <x:c r="K195" s="26" t="n">
        <x:v>8</x:v>
      </x:c>
      <x:c r="L195" s="17" t="str">
        <x:v>APP</x:v>
      </x:c>
    </x:row>
    <x:row r="196">
      <x:c r="A196" s="17" t="str">
        <x:v>APP2025000192</x:v>
      </x:c>
      <x:c r="B196" s="17" t="str">
        <x:v>CUS_00118527</x:v>
      </x:c>
      <x:c r="C196" s="20" t="n">
        <x:v>45662.68680555555</x:v>
      </x:c>
      <x:c r="D196" s="17" t="str">
        <x:v>PL_STD_01</x:v>
      </x:c>
      <x:c r="E196" s="23" t="n">
        <x:v>46000</x:v>
      </x:c>
      <x:c r="F196" s="26" t="n">
        <x:v>36</x:v>
      </x:c>
      <x:c r="G196" s="17" t="str">
        <x:v>51-60</x:v>
      </x:c>
      <x:c r="H196" s="17" t="str">
        <x:v>NORTH</x:v>
      </x:c>
      <x:c r="I196" s="17" t="str">
        <x:v>个体经营</x:v>
      </x:c>
      <x:c r="J196" s="23" t="n">
        <x:v>5200</x:v>
      </x:c>
      <x:c r="K196" s="26" t="n">
        <x:v>5</x:v>
      </x:c>
      <x:c r="L196" s="17" t="str">
        <x:v>WEB</x:v>
      </x:c>
    </x:row>
    <x:row r="197">
      <x:c r="A197" s="17" t="str">
        <x:v>APP2025000193</x:v>
      </x:c>
      <x:c r="B197" s="17" t="str">
        <x:v>CUS_00118624</x:v>
      </x:c>
      <x:c r="C197" s="20" t="n">
        <x:v>45764.50277777778</x:v>
      </x:c>
      <x:c r="D197" s="17" t="str">
        <x:v>PL_STD_01</x:v>
      </x:c>
      <x:c r="E197" s="23" t="n">
        <x:v>137000</x:v>
      </x:c>
      <x:c r="F197" s="26" t="n">
        <x:v>18</x:v>
      </x:c>
      <x:c r="G197" s="17" t="str">
        <x:v>41-50</x:v>
      </x:c>
      <x:c r="H197" s="17" t="str">
        <x:v>NORTH</x:v>
      </x:c>
      <x:c r="I197" s="17" t="str">
        <x:v>公共服务</x:v>
      </x:c>
      <x:c r="J197" s="23" t="n">
        <x:v>19000</x:v>
      </x:c>
      <x:c r="K197" s="26" t="n">
        <x:v>11</x:v>
      </x:c>
      <x:c r="L197" s="17" t="str">
        <x:v>WEB</x:v>
      </x:c>
    </x:row>
    <x:row r="198">
      <x:c r="A198" s="17" t="str">
        <x:v>APP2025000194</x:v>
      </x:c>
      <x:c r="B198" s="17" t="str">
        <x:v>CUS_00118721</x:v>
      </x:c>
      <x:c r="C198" s="20" t="n">
        <x:v>45683.47361111111</x:v>
      </x:c>
      <x:c r="D198" s="17" t="str">
        <x:v>PL_STD_01</x:v>
      </x:c>
      <x:c r="E198" s="23" t="n">
        <x:v>140000</x:v>
      </x:c>
      <x:c r="F198" s="26" t="n">
        <x:v>18</x:v>
      </x:c>
      <x:c r="G198" s="17" t="str">
        <x:v>21-30</x:v>
      </x:c>
      <x:c r="H198" s="17" t="str">
        <x:v>CENTRAL</x:v>
      </x:c>
      <x:c r="I198" s="17" t="str">
        <x:v>物流从业者</x:v>
      </x:c>
      <x:c r="J198" s="23" t="n">
        <x:v>16400</x:v>
      </x:c>
      <x:c r="K198" s="26" t="n">
        <x:v>8</x:v>
      </x:c>
      <x:c r="L198" s="17" t="str">
        <x:v>PARTNER</x:v>
      </x:c>
    </x:row>
    <x:row r="199">
      <x:c r="A199" s="17" t="str">
        <x:v>APP2025000195</x:v>
      </x:c>
      <x:c r="B199" s="17" t="str">
        <x:v>CUS_00118818</x:v>
      </x:c>
      <x:c r="C199" s="20" t="n">
        <x:v>45676.5875</x:v>
      </x:c>
      <x:c r="D199" s="17" t="str">
        <x:v>PL_STD_01</x:v>
      </x:c>
      <x:c r="E199" s="23" t="n">
        <x:v>73000</x:v>
      </x:c>
      <x:c r="F199" s="26" t="n">
        <x:v>36</x:v>
      </x:c>
      <x:c r="G199" s="17" t="str">
        <x:v>21-30</x:v>
      </x:c>
      <x:c r="H199" s="17" t="str">
        <x:v>CENTRAL</x:v>
      </x:c>
      <x:c r="I199" s="17" t="str">
        <x:v>互联网职员</x:v>
      </x:c>
      <x:c r="J199" s="23" t="n">
        <x:v>22100</x:v>
      </x:c>
      <x:c r="K199" s="26" t="n">
        <x:v>10</x:v>
      </x:c>
      <x:c r="L199" s="17" t="str">
        <x:v>WEB</x:v>
      </x:c>
    </x:row>
    <x:row r="200">
      <x:c r="A200" s="17" t="str">
        <x:v>APP2025000196</x:v>
      </x:c>
      <x:c r="B200" s="17" t="str">
        <x:v>CUS_00118915</x:v>
      </x:c>
      <x:c r="C200" s="20" t="n">
        <x:v>45733.441666666666</x:v>
      </x:c>
      <x:c r="D200" s="17" t="str">
        <x:v>PL_STD_01</x:v>
      </x:c>
      <x:c r="E200" s="23" t="n">
        <x:v>134000</x:v>
      </x:c>
      <x:c r="F200" s="26" t="n">
        <x:v>24</x:v>
      </x:c>
      <x:c r="G200" s="17" t="str">
        <x:v>41-50</x:v>
      </x:c>
      <x:c r="H200" s="17" t="str">
        <x:v>SOUTH</x:v>
      </x:c>
      <x:c r="I200" s="17" t="str">
        <x:v>公共服务</x:v>
      </x:c>
      <x:c r="J200" s="23" t="n">
        <x:v>21500</x:v>
      </x:c>
      <x:c r="K200" s="26" t="n">
        <x:v>14</x:v>
      </x:c>
      <x:c r="L200" s="17" t="str">
        <x:v>WEB</x:v>
      </x:c>
    </x:row>
    <x:row r="201">
      <x:c r="A201" s="17" t="str">
        <x:v>APP2025000197</x:v>
      </x:c>
      <x:c r="B201" s="17" t="str">
        <x:v>CUS_00119012</x:v>
      </x:c>
      <x:c r="C201" s="20" t="n">
        <x:v>45811.73611111111</x:v>
      </x:c>
      <x:c r="D201" s="17" t="str">
        <x:v>PL_STD_01</x:v>
      </x:c>
      <x:c r="E201" s="23" t="n">
        <x:v>75000</x:v>
      </x:c>
      <x:c r="F201" s="26" t="n">
        <x:v>18</x:v>
      </x:c>
      <x:c r="G201" s="17" t="str">
        <x:v>31-40</x:v>
      </x:c>
      <x:c r="H201" s="17" t="str">
        <x:v>CENTRAL</x:v>
      </x:c>
      <x:c r="I201" s="17" t="str">
        <x:v>零售从业者</x:v>
      </x:c>
      <x:c r="J201" s="23" t="n">
        <x:v>12600</x:v>
      </x:c>
      <x:c r="K201" s="26" t="n">
        <x:v>13</x:v>
      </x:c>
      <x:c r="L201" s="17" t="str">
        <x:v>WEB</x:v>
      </x:c>
    </x:row>
    <x:row r="202">
      <x:c r="A202" s="17" t="str">
        <x:v>APP2025000198</x:v>
      </x:c>
      <x:c r="B202" s="17" t="str">
        <x:v>CUS_00119109</x:v>
      </x:c>
      <x:c r="C202" s="20" t="n">
        <x:v>45774.39166666667</x:v>
      </x:c>
      <x:c r="D202" s="17" t="str">
        <x:v>PL_STD_01</x:v>
      </x:c>
      <x:c r="E202" s="23" t="n">
        <x:v>66000</x:v>
      </x:c>
      <x:c r="F202" s="26" t="n">
        <x:v>36</x:v>
      </x:c>
      <x:c r="G202" s="17" t="str">
        <x:v>41-50</x:v>
      </x:c>
      <x:c r="H202" s="17" t="str">
        <x:v>CENTRAL</x:v>
      </x:c>
      <x:c r="I202" s="17" t="str">
        <x:v>个体经营</x:v>
      </x:c>
      <x:c r="J202" s="23" t="n">
        <x:v>6300</x:v>
      </x:c>
      <x:c r="K202" s="26" t="n">
        <x:v>1</x:v>
      </x:c>
      <x:c r="L202" s="17" t="str">
        <x:v>PARTNER</x:v>
      </x:c>
    </x:row>
    <x:row r="203">
      <x:c r="A203" s="17" t="str">
        <x:v>APP2025000199</x:v>
      </x:c>
      <x:c r="B203" s="17" t="str">
        <x:v>CUS_00119206</x:v>
      </x:c>
      <x:c r="C203" s="20" t="n">
        <x:v>45810.694444444445</x:v>
      </x:c>
      <x:c r="D203" s="17" t="str">
        <x:v>PL_STD_01</x:v>
      </x:c>
      <x:c r="E203" s="23" t="n">
        <x:v>111000</x:v>
      </x:c>
      <x:c r="F203" s="26" t="n">
        <x:v>12</x:v>
      </x:c>
      <x:c r="G203" s="17" t="str">
        <x:v>21-30</x:v>
      </x:c>
      <x:c r="H203" s="17" t="str">
        <x:v>SOUTHWEST</x:v>
      </x:c>
      <x:c r="I203" s="17" t="str">
        <x:v>互联网职员</x:v>
      </x:c>
      <x:c r="J203" s="23" t="n">
        <x:v>20800</x:v>
      </x:c>
      <x:c r="K203" s="26" t="n">
        <x:v>10</x:v>
      </x:c>
      <x:c r="L203" s="17" t="str">
        <x:v>WEB</x:v>
      </x:c>
    </x:row>
    <x:row r="204">
      <x:c r="A204" s="18" t="str">
        <x:v>APP2025000200</x:v>
      </x:c>
      <x:c r="B204" s="18" t="str">
        <x:v>CUS_00119303</x:v>
      </x:c>
      <x:c r="C204" s="21" t="n">
        <x:v>45782.4125</x:v>
      </x:c>
      <x:c r="D204" s="18" t="str">
        <x:v>PL_STD_01</x:v>
      </x:c>
      <x:c r="E204" s="24" t="n">
        <x:v>20000</x:v>
      </x:c>
      <x:c r="F204" s="27" t="n">
        <x:v>6</x:v>
      </x:c>
      <x:c r="G204" s="18" t="str">
        <x:v>21-30</x:v>
      </x:c>
      <x:c r="H204" s="18" t="str">
        <x:v>SOUTH</x:v>
      </x:c>
      <x:c r="I204" s="18" t="str">
        <x:v>互联网职员</x:v>
      </x:c>
      <x:c r="J204" s="24" t="n">
        <x:v>17400</x:v>
      </x:c>
      <x:c r="K204" s="27" t="n">
        <x:v>1</x:v>
      </x:c>
      <x:c r="L204" s="18" t="str">
        <x:v>WEB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3" hidden="0" customWidth="1"/>
    <x:col min="4" max="4" width="17" hidden="0" customWidth="1"/>
    <x:col min="5" max="5" width="13" hidden="0" customWidth="1"/>
    <x:col min="6" max="6" width="19" hidden="0" customWidth="1"/>
    <x:col min="7" max="7" width="18" hidden="0" customWidth="1"/>
    <x:col min="8" max="8" width="15" hidden="0" customWidth="1"/>
    <x:col min="9" max="9" width="14" hidden="0" customWidth="1"/>
    <x:col min="10" max="10" width="20" hidden="0" customWidth="1"/>
  </x:cols>
  <x:sheetData>
    <x:row r="1" ht="30" customHeight="1">
      <x:c r="A1" s="3" t="str">
        <x:v>02｜征信与风控特征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来源：征信/特征平台。字段快照必须早于决策时间，避免使用未来信息。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1" t="str">
        <x:v>application_id</x:v>
      </x:c>
      <x:c r="B4" s="11" t="str">
        <x:v>credit_pull_time</x:v>
      </x:c>
      <x:c r="C4" s="11" t="str">
        <x:v>credit_score</x:v>
      </x:c>
      <x:c r="D4" s="11" t="str">
        <x:v>debt_income_ratio</x:v>
      </x:c>
      <x:c r="E4" s="11" t="str">
        <x:v>current_loans</x:v>
      </x:c>
      <x:c r="F4" s="11" t="str">
        <x:v>overdue_count_12m</x:v>
      </x:c>
      <x:c r="G4" s="11" t="str">
        <x:v>max_overdue_days</x:v>
      </x:c>
      <x:c r="H4" s="11" t="str">
        <x:v>inquiries_6m</x:v>
      </x:c>
      <x:c r="I4" s="11" t="str">
        <x:v>whitelist_flag</x:v>
      </x:c>
      <x:c r="J4" s="11" t="str">
        <x:v>feature_snapshot_time</x:v>
      </x:c>
    </x:row>
    <x:row r="5">
      <x:c r="A5" s="16" t="str">
        <x:v>APP2025000001</x:v>
      </x:c>
      <x:c r="B5" s="19" t="n">
        <x:v>45801.52013888889</x:v>
      </x:c>
      <x:c r="C5" s="25" t="n">
        <x:v>731</x:v>
      </x:c>
      <x:c r="D5" s="28" t="n">
        <x:v>0.181</x:v>
      </x:c>
      <x:c r="E5" s="25" t="n">
        <x:v>0</x:v>
      </x:c>
      <x:c r="F5" s="25" t="n">
        <x:v>0</x:v>
      </x:c>
      <x:c r="G5" s="25" t="n">
        <x:v>0</x:v>
      </x:c>
      <x:c r="H5" s="25" t="n">
        <x:v>2</x:v>
      </x:c>
      <x:c r="I5" s="16" t="str">
        <x:v>N</x:v>
      </x:c>
      <x:c r="J5" s="19" t="n">
        <x:v>45801.521527777775</x:v>
      </x:c>
    </x:row>
    <x:row r="6">
      <x:c r="A6" s="17" t="str">
        <x:v>APP2025000002</x:v>
      </x:c>
      <x:c r="B6" s="20" t="n">
        <x:v>45751.489583333336</x:v>
      </x:c>
      <x:c r="C6" s="26" t="n">
        <x:v>635</x:v>
      </x:c>
      <x:c r="D6" s="29" t="n">
        <x:v>0.793</x:v>
      </x:c>
      <x:c r="E6" s="26" t="n">
        <x:v>0</x:v>
      </x:c>
      <x:c r="F6" s="26" t="n">
        <x:v>0</x:v>
      </x:c>
      <x:c r="G6" s="26" t="n">
        <x:v>0</x:v>
      </x:c>
      <x:c r="H6" s="26" t="n">
        <x:v>8</x:v>
      </x:c>
      <x:c r="I6" s="17" t="str">
        <x:v>Y</x:v>
      </x:c>
      <x:c r="J6" s="20" t="n">
        <x:v>45751.49097222222</x:v>
      </x:c>
    </x:row>
    <x:row r="7">
      <x:c r="A7" s="17" t="str">
        <x:v>APP2025000003</x:v>
      </x:c>
      <x:c r="B7" s="20" t="n">
        <x:v>45722.49375</x:v>
      </x:c>
      <x:c r="C7" s="26" t="n">
        <x:v>571</x:v>
      </x:c>
      <x:c r="D7" s="29" t="n">
        <x:v>0.985</x:v>
      </x:c>
      <x:c r="E7" s="26" t="n">
        <x:v>1</x:v>
      </x:c>
      <x:c r="F7" s="26" t="n">
        <x:v>2</x:v>
      </x:c>
      <x:c r="G7" s="26" t="n">
        <x:v>57</x:v>
      </x:c>
      <x:c r="H7" s="26" t="n">
        <x:v>10</x:v>
      </x:c>
      <x:c r="I7" s="17" t="str">
        <x:v>N</x:v>
      </x:c>
      <x:c r="J7" s="20" t="n">
        <x:v>45722.49513888889</x:v>
      </x:c>
    </x:row>
    <x:row r="8">
      <x:c r="A8" s="17" t="str">
        <x:v>APP2025000004</x:v>
      </x:c>
      <x:c r="B8" s="20" t="n">
        <x:v>45737.36111111111</x:v>
      </x:c>
      <x:c r="C8" s="26" t="n">
        <x:v>553</x:v>
      </x:c>
      <x:c r="D8" s="29" t="n">
        <x:v>0.556</x:v>
      </x:c>
      <x:c r="E8" s="26" t="n">
        <x:v>4</x:v>
      </x:c>
      <x:c r="F8" s="26" t="n">
        <x:v>2</x:v>
      </x:c>
      <x:c r="G8" s="26" t="n">
        <x:v>21</x:v>
      </x:c>
      <x:c r="H8" s="26" t="n">
        <x:v>3</x:v>
      </x:c>
      <x:c r="I8" s="17" t="str">
        <x:v>N</x:v>
      </x:c>
      <x:c r="J8" s="20" t="n">
        <x:v>45737.3625</x:v>
      </x:c>
    </x:row>
    <x:row r="9">
      <x:c r="A9" s="17" t="str">
        <x:v>APP2025000005</x:v>
      </x:c>
      <x:c r="B9" s="20" t="n">
        <x:v>45818.38611111111</x:v>
      </x:c>
      <x:c r="C9" s="26" t="n">
        <x:v>654</x:v>
      </x:c>
      <x:c r="D9" s="29" t="n">
        <x:v>0.308</x:v>
      </x:c>
      <x:c r="E9" s="26" t="n">
        <x:v>5</x:v>
      </x:c>
      <x:c r="F9" s="26" t="n">
        <x:v>0</x:v>
      </x:c>
      <x:c r="G9" s="26" t="n">
        <x:v>0</x:v>
      </x:c>
      <x:c r="H9" s="26" t="n">
        <x:v>0</x:v>
      </x:c>
      <x:c r="I9" s="17" t="str">
        <x:v>Y</x:v>
      </x:c>
      <x:c r="J9" s="20" t="n">
        <x:v>45818.3875</x:v>
      </x:c>
    </x:row>
    <x:row r="10">
      <x:c r="A10" s="17" t="str">
        <x:v>APP2025000006</x:v>
      </x:c>
      <x:c r="B10" s="20" t="n">
        <x:v>45778.478472222225</x:v>
      </x:c>
      <x:c r="C10" s="26" t="n">
        <x:v>631</x:v>
      </x:c>
      <x:c r="D10" s="29" t="n">
        <x:v>0.473</x:v>
      </x:c>
      <x:c r="E10" s="26" t="n">
        <x:v>5</x:v>
      </x:c>
      <x:c r="F10" s="26" t="n">
        <x:v>0</x:v>
      </x:c>
      <x:c r="G10" s="26" t="n">
        <x:v>0</x:v>
      </x:c>
      <x:c r="H10" s="26" t="n">
        <x:v>10</x:v>
      </x:c>
      <x:c r="I10" s="17" t="str">
        <x:v>N</x:v>
      </x:c>
      <x:c r="J10" s="20" t="n">
        <x:v>45778.47986111111</x:v>
      </x:c>
    </x:row>
    <x:row r="11">
      <x:c r="A11" s="17" t="str">
        <x:v>APP2025000007</x:v>
      </x:c>
      <x:c r="B11" s="20" t="n">
        <x:v>45749.48055555556</x:v>
      </x:c>
      <x:c r="C11" s="26" t="n">
        <x:v>635</x:v>
      </x:c>
      <x:c r="D11" s="29" t="n">
        <x:v>0.777</x:v>
      </x:c>
      <x:c r="E11" s="26" t="n">
        <x:v>1</x:v>
      </x:c>
      <x:c r="F11" s="26" t="n">
        <x:v>0</x:v>
      </x:c>
      <x:c r="G11" s="26" t="n">
        <x:v>0</x:v>
      </x:c>
      <x:c r="H11" s="26" t="n">
        <x:v>10</x:v>
      </x:c>
      <x:c r="I11" s="17" t="str">
        <x:v>N</x:v>
      </x:c>
      <x:c r="J11" s="20" t="n">
        <x:v>45749.481944444444</x:v>
      </x:c>
    </x:row>
    <x:row r="12">
      <x:c r="A12" s="17" t="str">
        <x:v>APP2025000008</x:v>
      </x:c>
      <x:c r="B12" s="20" t="n">
        <x:v>45747.46944444445</x:v>
      </x:c>
      <x:c r="C12" s="26" t="n">
        <x:v>666</x:v>
      </x:c>
      <x:c r="D12" s="29" t="n">
        <x:v>0.742</x:v>
      </x:c>
      <x:c r="E12" s="26" t="n">
        <x:v>1</x:v>
      </x:c>
      <x:c r="F12" s="26" t="n">
        <x:v>0</x:v>
      </x:c>
      <x:c r="G12" s="26" t="n">
        <x:v>0</x:v>
      </x:c>
      <x:c r="H12" s="26" t="n">
        <x:v>4</x:v>
      </x:c>
      <x:c r="I12" s="17" t="str">
        <x:v>N</x:v>
      </x:c>
      <x:c r="J12" s="20" t="n">
        <x:v>45747.47083333333</x:v>
      </x:c>
    </x:row>
    <x:row r="13">
      <x:c r="A13" s="17" t="str">
        <x:v>APP2025000009</x:v>
      </x:c>
      <x:c r="B13" s="20" t="n">
        <x:v>45754.45763888889</x:v>
      </x:c>
      <x:c r="C13" s="26" t="n">
        <x:v>613</x:v>
      </x:c>
      <x:c r="D13" s="29" t="n">
        <x:v>0.749</x:v>
      </x:c>
      <x:c r="E13" s="26" t="n">
        <x:v>0</x:v>
      </x:c>
      <x:c r="F13" s="26" t="n">
        <x:v>0</x:v>
      </x:c>
      <x:c r="G13" s="26" t="n">
        <x:v>0</x:v>
      </x:c>
      <x:c r="H13" s="26" t="n">
        <x:v>5</x:v>
      </x:c>
      <x:c r="I13" s="17" t="str">
        <x:v>N</x:v>
      </x:c>
      <x:c r="J13" s="20" t="n">
        <x:v>45754.459027777775</x:v>
      </x:c>
    </x:row>
    <x:row r="14">
      <x:c r="A14" s="17" t="str">
        <x:v>APP2025000010</x:v>
      </x:c>
      <x:c r="B14" s="20" t="n">
        <x:v>45675.592361111114</x:v>
      </x:c>
      <x:c r="C14" s="26" t="n">
        <x:v>633</x:v>
      </x:c>
      <x:c r="D14" s="29" t="n">
        <x:v>0.498</x:v>
      </x:c>
      <x:c r="E14" s="26" t="n">
        <x:v>2</x:v>
      </x:c>
      <x:c r="F14" s="26" t="n">
        <x:v>2</x:v>
      </x:c>
      <x:c r="G14" s="26" t="n">
        <x:v>49</x:v>
      </x:c>
      <x:c r="H14" s="26" t="n">
        <x:v>11</x:v>
      </x:c>
      <x:c r="I14" s="17" t="str">
        <x:v>N</x:v>
      </x:c>
      <x:c r="J14" s="20" t="n">
        <x:v>45675.59375</x:v>
      </x:c>
    </x:row>
    <x:row r="15">
      <x:c r="A15" s="17" t="str">
        <x:v>APP2025000011</x:v>
      </x:c>
      <x:c r="B15" s="20" t="n">
        <x:v>45746.52777777778</x:v>
      </x:c>
      <x:c r="C15" s="26" t="n">
        <x:v>703</x:v>
      </x:c>
      <x:c r="D15" s="29" t="n">
        <x:v>0.672</x:v>
      </x:c>
      <x:c r="E15" s="26" t="n">
        <x:v>3</x:v>
      </x:c>
      <x:c r="F15" s="26" t="n">
        <x:v>0</x:v>
      </x:c>
      <x:c r="G15" s="26" t="n">
        <x:v>0</x:v>
      </x:c>
      <x:c r="H15" s="26" t="n">
        <x:v>10</x:v>
      </x:c>
      <x:c r="I15" s="17" t="str">
        <x:v>N</x:v>
      </x:c>
      <x:c r="J15" s="20" t="n">
        <x:v>45746.52916666667</x:v>
      </x:c>
    </x:row>
    <x:row r="16">
      <x:c r="A16" s="17" t="str">
        <x:v>APP2025000012</x:v>
      </x:c>
      <x:c r="B16" s="20" t="n">
        <x:v>45752.618055555555</x:v>
      </x:c>
      <x:c r="C16" s="26" t="n">
        <x:v>635</x:v>
      </x:c>
      <x:c r="D16" s="29" t="n">
        <x:v>0.64</x:v>
      </x:c>
      <x:c r="E16" s="26" t="n">
        <x:v>2</x:v>
      </x:c>
      <x:c r="F16" s="26" t="n">
        <x:v>0</x:v>
      </x:c>
      <x:c r="G16" s="26" t="n">
        <x:v>0</x:v>
      </x:c>
      <x:c r="H16" s="26" t="n">
        <x:v>1</x:v>
      </x:c>
      <x:c r="I16" s="17" t="str">
        <x:v>N</x:v>
      </x:c>
      <x:c r="J16" s="20" t="n">
        <x:v>45752.61944444444</x:v>
      </x:c>
    </x:row>
    <x:row r="17">
      <x:c r="A17" s="17" t="str">
        <x:v>APP2025000013</x:v>
      </x:c>
      <x:c r="B17" s="20" t="n">
        <x:v>45824.61041666667</x:v>
      </x:c>
      <x:c r="C17" s="26" t="n">
        <x:v>597</x:v>
      </x:c>
      <x:c r="D17" s="29" t="n">
        <x:v>0.772</x:v>
      </x:c>
      <x:c r="E17" s="26" t="n">
        <x:v>5</x:v>
      </x:c>
      <x:c r="F17" s="26" t="n">
        <x:v>1</x:v>
      </x:c>
      <x:c r="G17" s="26" t="n">
        <x:v>43</x:v>
      </x:c>
      <x:c r="H17" s="26" t="n">
        <x:v>4</x:v>
      </x:c>
      <x:c r="I17" s="17" t="str">
        <x:v>N</x:v>
      </x:c>
      <x:c r="J17" s="20" t="n">
        <x:v>45824.611805555556</x:v>
      </x:c>
    </x:row>
    <x:row r="18">
      <x:c r="A18" s="17" t="str">
        <x:v>APP2025000014</x:v>
      </x:c>
      <x:c r="B18" s="20" t="n">
        <x:v>45722.62986111111</x:v>
      </x:c>
      <x:c r="C18" s="26" t="n">
        <x:v>590</x:v>
      </x:c>
      <x:c r="D18" s="29" t="n">
        <x:v>0.182</x:v>
      </x:c>
      <x:c r="E18" s="26" t="n">
        <x:v>3</x:v>
      </x:c>
      <x:c r="F18" s="26" t="n">
        <x:v>3</x:v>
      </x:c>
      <x:c r="G18" s="26" t="n">
        <x:v>137</x:v>
      </x:c>
      <x:c r="H18" s="26" t="n">
        <x:v>1</x:v>
      </x:c>
      <x:c r="I18" s="17" t="str">
        <x:v>N</x:v>
      </x:c>
      <x:c r="J18" s="20" t="n">
        <x:v>45722.63125</x:v>
      </x:c>
    </x:row>
    <x:row r="19">
      <x:c r="A19" s="17" t="str">
        <x:v>APP2025000015</x:v>
      </x:c>
      <x:c r="B19" s="20" t="n">
        <x:v>45737.55069444444</x:v>
      </x:c>
      <x:c r="C19" s="26" t="n">
        <x:v>537</x:v>
      </x:c>
      <x:c r="D19" s="29" t="n">
        <x:v>0.853</x:v>
      </x:c>
      <x:c r="E19" s="26" t="n">
        <x:v>5</x:v>
      </x:c>
      <x:c r="F19" s="26" t="n">
        <x:v>2</x:v>
      </x:c>
      <x:c r="G19" s="26" t="n">
        <x:v>26</x:v>
      </x:c>
      <x:c r="H19" s="26" t="n">
        <x:v>1</x:v>
      </x:c>
      <x:c r="I19" s="17" t="str">
        <x:v>N</x:v>
      </x:c>
      <x:c r="J19" s="20" t="n">
        <x:v>45737.552083333336</x:v>
      </x:c>
    </x:row>
    <x:row r="20">
      <x:c r="A20" s="17" t="str">
        <x:v>APP2025000016</x:v>
      </x:c>
      <x:c r="B20" s="20" t="n">
        <x:v>45789.572222222225</x:v>
      </x:c>
      <x:c r="C20" s="26" t="n">
        <x:v>631</x:v>
      </x:c>
      <x:c r="D20" s="29" t="n">
        <x:v>0.744</x:v>
      </x:c>
      <x:c r="E20" s="26" t="n">
        <x:v>0</x:v>
      </x:c>
      <x:c r="F20" s="26" t="n">
        <x:v>0</x:v>
      </x:c>
      <x:c r="G20" s="26" t="n">
        <x:v>0</x:v>
      </x:c>
      <x:c r="H20" s="26" t="n">
        <x:v>7</x:v>
      </x:c>
      <x:c r="I20" s="17" t="str">
        <x:v>Y</x:v>
      </x:c>
      <x:c r="J20" s="20" t="n">
        <x:v>45789.57361111111</x:v>
      </x:c>
    </x:row>
    <x:row r="21">
      <x:c r="A21" s="17" t="str">
        <x:v>APP2025000017</x:v>
      </x:c>
      <x:c r="B21" s="20" t="n">
        <x:v>45738.36041666667</x:v>
      </x:c>
      <x:c r="C21" s="26" t="n">
        <x:v>587</x:v>
      </x:c>
      <x:c r="D21" s="29" t="n">
        <x:v>0.885</x:v>
      </x:c>
      <x:c r="E21" s="26" t="n">
        <x:v>5</x:v>
      </x:c>
      <x:c r="F21" s="26" t="n">
        <x:v>0</x:v>
      </x:c>
      <x:c r="G21" s="26" t="n">
        <x:v>0</x:v>
      </x:c>
      <x:c r="H21" s="26" t="n">
        <x:v>4</x:v>
      </x:c>
      <x:c r="I21" s="17" t="str">
        <x:v>N</x:v>
      </x:c>
      <x:c r="J21" s="20" t="n">
        <x:v>45738.361805555556</x:v>
      </x:c>
    </x:row>
    <x:row r="22">
      <x:c r="A22" s="17" t="str">
        <x:v>APP2025000018</x:v>
      </x:c>
      <x:c r="B22" s="20" t="n">
        <x:v>45704.37013888889</x:v>
      </x:c>
      <x:c r="C22" s="26" t="n">
        <x:v>663</x:v>
      </x:c>
      <x:c r="D22" s="29" t="n">
        <x:v>0.549</x:v>
      </x:c>
      <x:c r="E22" s="26" t="n">
        <x:v>2</x:v>
      </x:c>
      <x:c r="F22" s="26" t="n">
        <x:v>0</x:v>
      </x:c>
      <x:c r="G22" s="26" t="n">
        <x:v>0</x:v>
      </x:c>
      <x:c r="H22" s="26" t="n">
        <x:v>4</x:v>
      </x:c>
      <x:c r="I22" s="17" t="str">
        <x:v>N</x:v>
      </x:c>
      <x:c r="J22" s="20" t="n">
        <x:v>45704.37152777778</x:v>
      </x:c>
    </x:row>
    <x:row r="23">
      <x:c r="A23" s="17" t="str">
        <x:v>APP2025000019</x:v>
      </x:c>
      <x:c r="B23" s="20" t="n">
        <x:v>45784.50486111111</x:v>
      </x:c>
      <x:c r="C23" s="26" t="n">
        <x:v>713</x:v>
      </x:c>
      <x:c r="D23" s="29" t="n">
        <x:v>0.188</x:v>
      </x:c>
      <x:c r="E23" s="26" t="n">
        <x:v>1</x:v>
      </x:c>
      <x:c r="F23" s="26" t="n">
        <x:v>0</x:v>
      </x:c>
      <x:c r="G23" s="26" t="n">
        <x:v>0</x:v>
      </x:c>
      <x:c r="H23" s="26" t="n">
        <x:v>5</x:v>
      </x:c>
      <x:c r="I23" s="17" t="str">
        <x:v>Y</x:v>
      </x:c>
      <x:c r="J23" s="20" t="n">
        <x:v>45784.50625</x:v>
      </x:c>
    </x:row>
    <x:row r="24">
      <x:c r="A24" s="17" t="str">
        <x:v>APP2025000020</x:v>
      </x:c>
      <x:c r="B24" s="20" t="n">
        <x:v>45700.60763888889</x:v>
      </x:c>
      <x:c r="C24" s="26" t="n">
        <x:v>665</x:v>
      </x:c>
      <x:c r="D24" s="29" t="n">
        <x:v>0.411</x:v>
      </x:c>
      <x:c r="E24" s="26" t="n">
        <x:v>1</x:v>
      </x:c>
      <x:c r="F24" s="26" t="n">
        <x:v>0</x:v>
      </x:c>
      <x:c r="G24" s="26" t="n">
        <x:v>0</x:v>
      </x:c>
      <x:c r="H24" s="26" t="n">
        <x:v>8</x:v>
      </x:c>
      <x:c r="I24" s="17" t="str">
        <x:v>N</x:v>
      </x:c>
      <x:c r="J24" s="20" t="n">
        <x:v>45700.60902777778</x:v>
      </x:c>
    </x:row>
    <x:row r="25">
      <x:c r="A25" s="17" t="str">
        <x:v>APP2025000021</x:v>
      </x:c>
      <x:c r="B25" s="20" t="n">
        <x:v>45821.50625</x:v>
      </x:c>
      <x:c r="C25" s="26" t="n">
        <x:v>706</x:v>
      </x:c>
      <x:c r="D25" s="29" t="n">
        <x:v>0.364</x:v>
      </x:c>
      <x:c r="E25" s="26" t="n">
        <x:v>2</x:v>
      </x:c>
      <x:c r="F25" s="26" t="n">
        <x:v>0</x:v>
      </x:c>
      <x:c r="G25" s="26" t="n">
        <x:v>0</x:v>
      </x:c>
      <x:c r="H25" s="26" t="n">
        <x:v>4</x:v>
      </x:c>
      <x:c r="I25" s="17" t="str">
        <x:v>N</x:v>
      </x:c>
      <x:c r="J25" s="20" t="n">
        <x:v>45821.50763888889</x:v>
      </x:c>
    </x:row>
    <x:row r="26">
      <x:c r="A26" s="17" t="str">
        <x:v>APP2025000022</x:v>
      </x:c>
      <x:c r="B26" s="20" t="n">
        <x:v>45834.35555555556</x:v>
      </x:c>
      <x:c r="C26" s="26" t="n">
        <x:v>680</x:v>
      </x:c>
      <x:c r="D26" s="29" t="n">
        <x:v>0.694</x:v>
      </x:c>
      <x:c r="E26" s="26" t="n">
        <x:v>0</x:v>
      </x:c>
      <x:c r="F26" s="26" t="n">
        <x:v>0</x:v>
      </x:c>
      <x:c r="G26" s="26" t="n">
        <x:v>0</x:v>
      </x:c>
      <x:c r="H26" s="26" t="n">
        <x:v>7</x:v>
      </x:c>
      <x:c r="I26" s="17" t="str">
        <x:v>N</x:v>
      </x:c>
      <x:c r="J26" s="20" t="n">
        <x:v>45834.356944444444</x:v>
      </x:c>
    </x:row>
    <x:row r="27">
      <x:c r="A27" s="17" t="str">
        <x:v>APP2025000023</x:v>
      </x:c>
      <x:c r="B27" s="20" t="n">
        <x:v>45794.3875</x:v>
      </x:c>
      <x:c r="C27" s="26" t="n">
        <x:v>565</x:v>
      </x:c>
      <x:c r="D27" s="29" t="n">
        <x:v>0.352</x:v>
      </x:c>
      <x:c r="E27" s="26" t="n">
        <x:v>1</x:v>
      </x:c>
      <x:c r="F27" s="26" t="n">
        <x:v>3</x:v>
      </x:c>
      <x:c r="G27" s="26" t="n">
        <x:v>88</x:v>
      </x:c>
      <x:c r="H27" s="26" t="n">
        <x:v>8</x:v>
      </x:c>
      <x:c r="I27" s="17" t="str">
        <x:v>N</x:v>
      </x:c>
      <x:c r="J27" s="20" t="n">
        <x:v>45794.38888888889</x:v>
      </x:c>
    </x:row>
    <x:row r="28">
      <x:c r="A28" s="17" t="str">
        <x:v>APP2025000024</x:v>
      </x:c>
      <x:c r="B28" s="20" t="n">
        <x:v>45686.49236111111</x:v>
      </x:c>
      <x:c r="C28" s="26" t="n">
        <x:v>658</x:v>
      </x:c>
      <x:c r="D28" s="29" t="n">
        <x:v>0.701</x:v>
      </x:c>
      <x:c r="E28" s="26" t="n">
        <x:v>3</x:v>
      </x:c>
      <x:c r="F28" s="26" t="n">
        <x:v>0</x:v>
      </x:c>
      <x:c r="G28" s="26" t="n">
        <x:v>0</x:v>
      </x:c>
      <x:c r="H28" s="26" t="n">
        <x:v>11</x:v>
      </x:c>
      <x:c r="I28" s="17" t="str">
        <x:v>N</x:v>
      </x:c>
      <x:c r="J28" s="20" t="n">
        <x:v>45686.49375</x:v>
      </x:c>
    </x:row>
    <x:row r="29">
      <x:c r="A29" s="17" t="str">
        <x:v>APP2025000025</x:v>
      </x:c>
      <x:c r="B29" s="20" t="n">
        <x:v>45733.63333333333</x:v>
      </x:c>
      <x:c r="C29" s="26" t="n">
        <x:v>671</x:v>
      </x:c>
      <x:c r="D29" s="29" t="n">
        <x:v>0.595</x:v>
      </x:c>
      <x:c r="E29" s="26" t="n">
        <x:v>2</x:v>
      </x:c>
      <x:c r="F29" s="26" t="n">
        <x:v>0</x:v>
      </x:c>
      <x:c r="G29" s="26" t="n">
        <x:v>0</x:v>
      </x:c>
      <x:c r="H29" s="26" t="n">
        <x:v>3</x:v>
      </x:c>
      <x:c r="I29" s="17" t="str">
        <x:v>N</x:v>
      </x:c>
      <x:c r="J29" s="20" t="n">
        <x:v>45733.634722222225</x:v>
      </x:c>
    </x:row>
    <x:row r="30">
      <x:c r="A30" s="17" t="str">
        <x:v>APP2025000026</x:v>
      </x:c>
      <x:c r="B30" s="20" t="n">
        <x:v>45815.42986111111</x:v>
      </x:c>
      <x:c r="C30" s="26" t="n">
        <x:v>706</x:v>
      </x:c>
      <x:c r="D30" s="29" t="n">
        <x:v>0.453</x:v>
      </x:c>
      <x:c r="E30" s="26" t="n">
        <x:v>0</x:v>
      </x:c>
      <x:c r="F30" s="26" t="n">
        <x:v>0</x:v>
      </x:c>
      <x:c r="G30" s="26" t="n">
        <x:v>0</x:v>
      </x:c>
      <x:c r="H30" s="26" t="n">
        <x:v>10</x:v>
      </x:c>
      <x:c r="I30" s="17" t="str">
        <x:v>N</x:v>
      </x:c>
      <x:c r="J30" s="20" t="n">
        <x:v>45815.43125</x:v>
      </x:c>
    </x:row>
    <x:row r="31">
      <x:c r="A31" s="17" t="str">
        <x:v>APP2025000027</x:v>
      </x:c>
      <x:c r="B31" s="20" t="n">
        <x:v>45674.51666666667</x:v>
      </x:c>
      <x:c r="C31" s="26" t="n">
        <x:v>696</x:v>
      </x:c>
      <x:c r="D31" s="29" t="n">
        <x:v>0.491</x:v>
      </x:c>
      <x:c r="E31" s="26" t="n">
        <x:v>4</x:v>
      </x:c>
      <x:c r="F31" s="26" t="n">
        <x:v>0</x:v>
      </x:c>
      <x:c r="G31" s="26" t="n">
        <x:v>0</x:v>
      </x:c>
      <x:c r="H31" s="26" t="n">
        <x:v>2</x:v>
      </x:c>
      <x:c r="I31" s="17" t="str">
        <x:v>N</x:v>
      </x:c>
      <x:c r="J31" s="20" t="n">
        <x:v>45674.518055555556</x:v>
      </x:c>
    </x:row>
    <x:row r="32">
      <x:c r="A32" s="17" t="str">
        <x:v>APP2025000028</x:v>
      </x:c>
      <x:c r="B32" s="20" t="n">
        <x:v>45666.49791666667</x:v>
      </x:c>
      <x:c r="C32" s="26" t="n">
        <x:v>590</x:v>
      </x:c>
      <x:c r="D32" s="29" t="n">
        <x:v>0.447</x:v>
      </x:c>
      <x:c r="E32" s="26" t="n">
        <x:v>0</x:v>
      </x:c>
      <x:c r="F32" s="26" t="n">
        <x:v>3</x:v>
      </x:c>
      <x:c r="G32" s="26" t="n">
        <x:v>38</x:v>
      </x:c>
      <x:c r="H32" s="26" t="n">
        <x:v>7</x:v>
      </x:c>
      <x:c r="I32" s="17" t="str">
        <x:v>N</x:v>
      </x:c>
      <x:c r="J32" s="20" t="n">
        <x:v>45666.49930555555</x:v>
      </x:c>
    </x:row>
    <x:row r="33">
      <x:c r="A33" s="17" t="str">
        <x:v>APP2025000029</x:v>
      </x:c>
      <x:c r="B33" s="20" t="n">
        <x:v>45713.45625</x:v>
      </x:c>
      <x:c r="C33" s="26" t="n">
        <x:v>679</x:v>
      </x:c>
      <x:c r="D33" s="29" t="n">
        <x:v>0.846</x:v>
      </x:c>
      <x:c r="E33" s="26" t="n">
        <x:v>0</x:v>
      </x:c>
      <x:c r="F33" s="26" t="n">
        <x:v>0</x:v>
      </x:c>
      <x:c r="G33" s="26" t="n">
        <x:v>0</x:v>
      </x:c>
      <x:c r="H33" s="26" t="n">
        <x:v>5</x:v>
      </x:c>
      <x:c r="I33" s="17" t="str">
        <x:v>N</x:v>
      </x:c>
      <x:c r="J33" s="20" t="n">
        <x:v>45713.45763888889</x:v>
      </x:c>
    </x:row>
    <x:row r="34">
      <x:c r="A34" s="17" t="str">
        <x:v>APP2025000030</x:v>
      </x:c>
      <x:c r="B34" s="20" t="n">
        <x:v>45787.60486111111</x:v>
      </x:c>
      <x:c r="C34" s="26" t="n">
        <x:v>619</x:v>
      </x:c>
      <x:c r="D34" s="29" t="n">
        <x:v>0.803</x:v>
      </x:c>
      <x:c r="E34" s="26" t="n">
        <x:v>1</x:v>
      </x:c>
      <x:c r="F34" s="26" t="n">
        <x:v>0</x:v>
      </x:c>
      <x:c r="G34" s="26" t="n">
        <x:v>0</x:v>
      </x:c>
      <x:c r="H34" s="26" t="n">
        <x:v>2</x:v>
      </x:c>
      <x:c r="I34" s="17" t="str">
        <x:v>N</x:v>
      </x:c>
      <x:c r="J34" s="20" t="n">
        <x:v>45787.60625</x:v>
      </x:c>
    </x:row>
    <x:row r="35">
      <x:c r="A35" s="17" t="str">
        <x:v>APP2025000031</x:v>
      </x:c>
      <x:c r="B35" s="20" t="n">
        <x:v>45730.68958333333</x:v>
      </x:c>
      <x:c r="C35" s="26" t="n">
        <x:v>558</x:v>
      </x:c>
      <x:c r="D35" s="29" t="n">
        <x:v>0.462</x:v>
      </x:c>
      <x:c r="E35" s="26" t="n">
        <x:v>4</x:v>
      </x:c>
      <x:c r="F35" s="26" t="n">
        <x:v>2</x:v>
      </x:c>
      <x:c r="G35" s="26" t="n">
        <x:v>29</x:v>
      </x:c>
      <x:c r="H35" s="26" t="n">
        <x:v>9</x:v>
      </x:c>
      <x:c r="I35" s="17" t="str">
        <x:v>N</x:v>
      </x:c>
      <x:c r="J35" s="20" t="n">
        <x:v>45730.69097222222</x:v>
      </x:c>
    </x:row>
    <x:row r="36">
      <x:c r="A36" s="17" t="str">
        <x:v>APP2025000032</x:v>
      </x:c>
      <x:c r="B36" s="20" t="n">
        <x:v>45805.44027777778</x:v>
      </x:c>
      <x:c r="C36" s="26" t="n">
        <x:v>644</x:v>
      </x:c>
      <x:c r="D36" s="29" t="n">
        <x:v>0.545</x:v>
      </x:c>
      <x:c r="E36" s="26" t="n">
        <x:v>2</x:v>
      </x:c>
      <x:c r="F36" s="26" t="n">
        <x:v>1</x:v>
      </x:c>
      <x:c r="G36" s="26" t="n">
        <x:v>40</x:v>
      </x:c>
      <x:c r="H36" s="26" t="n">
        <x:v>7</x:v>
      </x:c>
      <x:c r="I36" s="17" t="str">
        <x:v>N</x:v>
      </x:c>
      <x:c r="J36" s="20" t="n">
        <x:v>45805.441666666666</x:v>
      </x:c>
    </x:row>
    <x:row r="37">
      <x:c r="A37" s="17" t="str">
        <x:v>APP2025000033</x:v>
      </x:c>
      <x:c r="B37" s="20" t="n">
        <x:v>45777.30763888889</x:v>
      </x:c>
      <x:c r="C37" s="26" t="n">
        <x:v>673</x:v>
      </x:c>
      <x:c r="D37" s="29" t="n">
        <x:v>0.398</x:v>
      </x:c>
      <x:c r="E37" s="26" t="n">
        <x:v>2</x:v>
      </x:c>
      <x:c r="F37" s="26" t="n">
        <x:v>0</x:v>
      </x:c>
      <x:c r="G37" s="26" t="n">
        <x:v>0</x:v>
      </x:c>
      <x:c r="H37" s="26" t="n">
        <x:v>0</x:v>
      </x:c>
      <x:c r="I37" s="17" t="str">
        <x:v>N</x:v>
      </x:c>
      <x:c r="J37" s="20" t="n">
        <x:v>45777.30902777778</x:v>
      </x:c>
    </x:row>
    <x:row r="38">
      <x:c r="A38" s="17" t="str">
        <x:v>APP2025000034</x:v>
      </x:c>
      <x:c r="B38" s="20" t="n">
        <x:v>45720.584027777775</x:v>
      </x:c>
      <x:c r="C38" s="26" t="n">
        <x:v>622</x:v>
      </x:c>
      <x:c r="D38" s="29" t="n">
        <x:v>0.611</x:v>
      </x:c>
      <x:c r="E38" s="26" t="n">
        <x:v>1</x:v>
      </x:c>
      <x:c r="F38" s="26" t="n">
        <x:v>0</x:v>
      </x:c>
      <x:c r="G38" s="26" t="n">
        <x:v>0</x:v>
      </x:c>
      <x:c r="H38" s="26" t="n">
        <x:v>2</x:v>
      </x:c>
      <x:c r="I38" s="17" t="str">
        <x:v>N</x:v>
      </x:c>
      <x:c r="J38" s="20" t="n">
        <x:v>45720.58541666667</x:v>
      </x:c>
    </x:row>
    <x:row r="39">
      <x:c r="A39" s="17" t="str">
        <x:v>APP2025000035</x:v>
      </x:c>
      <x:c r="B39" s="20" t="n">
        <x:v>45757.58194444444</x:v>
      </x:c>
      <x:c r="C39" s="26" t="n">
        <x:v>646</x:v>
      </x:c>
      <x:c r="D39" s="29" t="n">
        <x:v>0.583</x:v>
      </x:c>
      <x:c r="E39" s="26" t="n">
        <x:v>3</x:v>
      </x:c>
      <x:c r="F39" s="26" t="n">
        <x:v>0</x:v>
      </x:c>
      <x:c r="G39" s="26" t="n">
        <x:v>0</x:v>
      </x:c>
      <x:c r="H39" s="26" t="n">
        <x:v>4</x:v>
      </x:c>
      <x:c r="I39" s="17" t="str">
        <x:v>N</x:v>
      </x:c>
      <x:c r="J39" s="20" t="n">
        <x:v>45757.583333333336</x:v>
      </x:c>
    </x:row>
    <x:row r="40">
      <x:c r="A40" s="17" t="str">
        <x:v>APP2025000036</x:v>
      </x:c>
      <x:c r="B40" s="20" t="n">
        <x:v>45698.330555555556</x:v>
      </x:c>
      <x:c r="C40" s="26" t="n">
        <x:v>596</x:v>
      </x:c>
      <x:c r="D40" s="29" t="n">
        <x:v>0.808</x:v>
      </x:c>
      <x:c r="E40" s="26" t="n">
        <x:v>5</x:v>
      </x:c>
      <x:c r="F40" s="26" t="n">
        <x:v>1</x:v>
      </x:c>
      <x:c r="G40" s="26" t="n">
        <x:v>51</x:v>
      </x:c>
      <x:c r="H40" s="26" t="n">
        <x:v>11</x:v>
      </x:c>
      <x:c r="I40" s="17" t="str">
        <x:v>N</x:v>
      </x:c>
      <x:c r="J40" s="20" t="n">
        <x:v>45698.33194444444</x:v>
      </x:c>
    </x:row>
    <x:row r="41">
      <x:c r="A41" s="17" t="str">
        <x:v>APP2025000037</x:v>
      </x:c>
      <x:c r="B41" s="20" t="n">
        <x:v>45829.65902777778</x:v>
      </x:c>
      <x:c r="C41" s="26" t="n">
        <x:v>737</x:v>
      </x:c>
      <x:c r="D41" s="29" t="n">
        <x:v>0.189</x:v>
      </x:c>
      <x:c r="E41" s="26" t="n">
        <x:v>3</x:v>
      </x:c>
      <x:c r="F41" s="26" t="n">
        <x:v>0</x:v>
      </x:c>
      <x:c r="G41" s="26" t="n">
        <x:v>0</x:v>
      </x:c>
      <x:c r="H41" s="26" t="n">
        <x:v>3</x:v>
      </x:c>
      <x:c r="I41" s="17" t="str">
        <x:v>N</x:v>
      </x:c>
      <x:c r="J41" s="20" t="n">
        <x:v>45829.660416666666</x:v>
      </x:c>
    </x:row>
    <x:row r="42">
      <x:c r="A42" s="17" t="str">
        <x:v>APP2025000038</x:v>
      </x:c>
      <x:c r="B42" s="20" t="n">
        <x:v>45823.717361111114</x:v>
      </x:c>
      <x:c r="C42" s="26" t="n">
        <x:v>725</x:v>
      </x:c>
      <x:c r="D42" s="29" t="n">
        <x:v>0.218</x:v>
      </x:c>
      <x:c r="E42" s="26" t="n">
        <x:v>4</x:v>
      </x:c>
      <x:c r="F42" s="26" t="n">
        <x:v>0</x:v>
      </x:c>
      <x:c r="G42" s="26" t="n">
        <x:v>0</x:v>
      </x:c>
      <x:c r="H42" s="26" t="n">
        <x:v>5</x:v>
      </x:c>
      <x:c r="I42" s="17" t="str">
        <x:v>N</x:v>
      </x:c>
      <x:c r="J42" s="20" t="n">
        <x:v>45823.71875</x:v>
      </x:c>
    </x:row>
    <x:row r="43">
      <x:c r="A43" s="17" t="str">
        <x:v>APP2025000039</x:v>
      </x:c>
      <x:c r="B43" s="20" t="n">
        <x:v>45742.50902777778</x:v>
      </x:c>
      <x:c r="C43" s="26" t="n">
        <x:v>720</x:v>
      </x:c>
      <x:c r="D43" s="29" t="n">
        <x:v>0.295</x:v>
      </x:c>
      <x:c r="E43" s="26" t="n">
        <x:v>4</x:v>
      </x:c>
      <x:c r="F43" s="26" t="n">
        <x:v>0</x:v>
      </x:c>
      <x:c r="G43" s="26" t="n">
        <x:v>0</x:v>
      </x:c>
      <x:c r="H43" s="26" t="n">
        <x:v>1</x:v>
      </x:c>
      <x:c r="I43" s="17" t="str">
        <x:v>N</x:v>
      </x:c>
      <x:c r="J43" s="20" t="n">
        <x:v>45742.510416666664</x:v>
      </x:c>
    </x:row>
    <x:row r="44">
      <x:c r="A44" s="17" t="str">
        <x:v>APP2025000040</x:v>
      </x:c>
      <x:c r="B44" s="20" t="n">
        <x:v>45754.71041666667</x:v>
      </x:c>
      <x:c r="C44" s="26" t="n">
        <x:v>670</x:v>
      </x:c>
      <x:c r="D44" s="29" t="n">
        <x:v>0.825</x:v>
      </x:c>
      <x:c r="E44" s="26" t="n">
        <x:v>3</x:v>
      </x:c>
      <x:c r="F44" s="26" t="n">
        <x:v>0</x:v>
      </x:c>
      <x:c r="G44" s="26" t="n">
        <x:v>0</x:v>
      </x:c>
      <x:c r="H44" s="26" t="n">
        <x:v>1</x:v>
      </x:c>
      <x:c r="I44" s="17" t="str">
        <x:v>N</x:v>
      </x:c>
      <x:c r="J44" s="20" t="n">
        <x:v>45754.711805555555</x:v>
      </x:c>
    </x:row>
    <x:row r="45">
      <x:c r="A45" s="17" t="str">
        <x:v>APP2025000041</x:v>
      </x:c>
      <x:c r="B45" s="20" t="n">
        <x:v>45779.36736111111</x:v>
      </x:c>
      <x:c r="C45" s="26" t="n">
        <x:v>686</x:v>
      </x:c>
      <x:c r="D45" s="29" t="n">
        <x:v>0.199</x:v>
      </x:c>
      <x:c r="E45" s="26" t="n">
        <x:v>1</x:v>
      </x:c>
      <x:c r="F45" s="26" t="n">
        <x:v>0</x:v>
      </x:c>
      <x:c r="G45" s="26" t="n">
        <x:v>0</x:v>
      </x:c>
      <x:c r="H45" s="26" t="n">
        <x:v>1</x:v>
      </x:c>
      <x:c r="I45" s="17" t="str">
        <x:v>N</x:v>
      </x:c>
      <x:c r="J45" s="20" t="n">
        <x:v>45779.36875</x:v>
      </x:c>
    </x:row>
    <x:row r="46">
      <x:c r="A46" s="17" t="str">
        <x:v>APP2025000042</x:v>
      </x:c>
      <x:c r="B46" s="20" t="n">
        <x:v>45757.63402777778</x:v>
      </x:c>
      <x:c r="C46" s="26" t="n">
        <x:v>677</x:v>
      </x:c>
      <x:c r="D46" s="29" t="n">
        <x:v>0.826</x:v>
      </x:c>
      <x:c r="E46" s="26" t="n">
        <x:v>2</x:v>
      </x:c>
      <x:c r="F46" s="26" t="n">
        <x:v>0</x:v>
      </x:c>
      <x:c r="G46" s="26" t="n">
        <x:v>0</x:v>
      </x:c>
      <x:c r="H46" s="26" t="n">
        <x:v>7</x:v>
      </x:c>
      <x:c r="I46" s="17" t="str">
        <x:v>Y</x:v>
      </x:c>
      <x:c r="J46" s="20" t="n">
        <x:v>45757.635416666664</x:v>
      </x:c>
    </x:row>
    <x:row r="47">
      <x:c r="A47" s="17" t="str">
        <x:v>APP2025000043</x:v>
      </x:c>
      <x:c r="B47" s="20" t="n">
        <x:v>45817.70138888889</x:v>
      </x:c>
      <x:c r="C47" s="26" t="n">
        <x:v>598</x:v>
      </x:c>
      <x:c r="D47" s="29" t="n">
        <x:v>0.416</x:v>
      </x:c>
      <x:c r="E47" s="26" t="n">
        <x:v>0</x:v>
      </x:c>
      <x:c r="F47" s="26" t="n">
        <x:v>1</x:v>
      </x:c>
      <x:c r="G47" s="26" t="n">
        <x:v>58</x:v>
      </x:c>
      <x:c r="H47" s="26" t="n">
        <x:v>6</x:v>
      </x:c>
      <x:c r="I47" s="17" t="str">
        <x:v>N</x:v>
      </x:c>
      <x:c r="J47" s="20" t="n">
        <x:v>45817.70277777778</x:v>
      </x:c>
    </x:row>
    <x:row r="48">
      <x:c r="A48" s="17" t="str">
        <x:v>APP2025000044</x:v>
      </x:c>
      <x:c r="B48" s="20" t="n">
        <x:v>45703.45694444444</x:v>
      </x:c>
      <x:c r="C48" s="26" t="n">
        <x:v>617</x:v>
      </x:c>
      <x:c r="D48" s="29" t="n">
        <x:v>0.785</x:v>
      </x:c>
      <x:c r="E48" s="26" t="n">
        <x:v>0</x:v>
      </x:c>
      <x:c r="F48" s="26" t="n">
        <x:v>0</x:v>
      </x:c>
      <x:c r="G48" s="26" t="n">
        <x:v>0</x:v>
      </x:c>
      <x:c r="H48" s="26" t="n">
        <x:v>7</x:v>
      </x:c>
      <x:c r="I48" s="17" t="str">
        <x:v>N</x:v>
      </x:c>
      <x:c r="J48" s="20" t="n">
        <x:v>45703.458333333336</x:v>
      </x:c>
    </x:row>
    <x:row r="49">
      <x:c r="A49" s="17" t="str">
        <x:v>APP2025000045</x:v>
      </x:c>
      <x:c r="B49" s="20" t="n">
        <x:v>45693.40416666667</x:v>
      </x:c>
      <x:c r="C49" s="26" t="n">
        <x:v>734</x:v>
      </x:c>
      <x:c r="D49" s="29" t="n">
        <x:v>0.23</x:v>
      </x:c>
      <x:c r="E49" s="26" t="n">
        <x:v>1</x:v>
      </x:c>
      <x:c r="F49" s="26" t="n">
        <x:v>0</x:v>
      </x:c>
      <x:c r="G49" s="26" t="n">
        <x:v>0</x:v>
      </x:c>
      <x:c r="H49" s="26" t="n">
        <x:v>7</x:v>
      </x:c>
      <x:c r="I49" s="17" t="str">
        <x:v>N</x:v>
      </x:c>
      <x:c r="J49" s="20" t="n">
        <x:v>45693.40555555555</x:v>
      </x:c>
    </x:row>
    <x:row r="50">
      <x:c r="A50" s="17" t="str">
        <x:v>APP2025000046</x:v>
      </x:c>
      <x:c r="B50" s="20" t="n">
        <x:v>45792.52291666667</x:v>
      </x:c>
      <x:c r="C50" s="26" t="n">
        <x:v>560</x:v>
      </x:c>
      <x:c r="D50" s="29" t="n">
        <x:v>0.49</x:v>
      </x:c>
      <x:c r="E50" s="26" t="n">
        <x:v>0</x:v>
      </x:c>
      <x:c r="F50" s="26" t="n">
        <x:v>4</x:v>
      </x:c>
      <x:c r="G50" s="26" t="n">
        <x:v>6</x:v>
      </x:c>
      <x:c r="H50" s="26" t="n">
        <x:v>2</x:v>
      </x:c>
      <x:c r="I50" s="17" t="str">
        <x:v>N</x:v>
      </x:c>
      <x:c r="J50" s="20" t="n">
        <x:v>45792.524305555555</x:v>
      </x:c>
    </x:row>
    <x:row r="51">
      <x:c r="A51" s="17" t="str">
        <x:v>APP2025000047</x:v>
      </x:c>
      <x:c r="B51" s="20" t="n">
        <x:v>45794.60277777778</x:v>
      </x:c>
      <x:c r="C51" s="26" t="n">
        <x:v>606</x:v>
      </x:c>
      <x:c r="D51" s="29" t="n">
        <x:v>0.435</x:v>
      </x:c>
      <x:c r="E51" s="26" t="n">
        <x:v>4</x:v>
      </x:c>
      <x:c r="F51" s="26" t="n">
        <x:v>2</x:v>
      </x:c>
      <x:c r="G51" s="26" t="n">
        <x:v>60</x:v>
      </x:c>
      <x:c r="H51" s="26" t="n">
        <x:v>0</x:v>
      </x:c>
      <x:c r="I51" s="17" t="str">
        <x:v>N</x:v>
      </x:c>
      <x:c r="J51" s="20" t="n">
        <x:v>45794.604166666664</x:v>
      </x:c>
    </x:row>
    <x:row r="52">
      <x:c r="A52" s="17" t="str">
        <x:v>APP2025000048</x:v>
      </x:c>
      <x:c r="B52" s="20" t="n">
        <x:v>45836.38402777778</x:v>
      </x:c>
      <x:c r="C52" s="26" t="n">
        <x:v>430</x:v>
      </x:c>
      <x:c r="D52" s="29" t="n">
        <x:v>0.668</x:v>
      </x:c>
      <x:c r="E52" s="26" t="n">
        <x:v>3</x:v>
      </x:c>
      <x:c r="F52" s="26" t="n">
        <x:v>5</x:v>
      </x:c>
      <x:c r="G52" s="26" t="n">
        <x:v>57</x:v>
      </x:c>
      <x:c r="H52" s="26" t="n">
        <x:v>11</x:v>
      </x:c>
      <x:c r="I52" s="17" t="str">
        <x:v>Y</x:v>
      </x:c>
      <x:c r="J52" s="20" t="n">
        <x:v>45836.385416666664</x:v>
      </x:c>
    </x:row>
    <x:row r="53">
      <x:c r="A53" s="17" t="str">
        <x:v>APP2025000049</x:v>
      </x:c>
      <x:c r="B53" s="20" t="n">
        <x:v>45693.62013888889</x:v>
      </x:c>
      <x:c r="C53" s="26" t="n">
        <x:v>625</x:v>
      </x:c>
      <x:c r="D53" s="29" t="n">
        <x:v>0.879</x:v>
      </x:c>
      <x:c r="E53" s="26" t="n">
        <x:v>1</x:v>
      </x:c>
      <x:c r="F53" s="26" t="n">
        <x:v>0</x:v>
      </x:c>
      <x:c r="G53" s="26" t="n">
        <x:v>0</x:v>
      </x:c>
      <x:c r="H53" s="26" t="n">
        <x:v>6</x:v>
      </x:c>
      <x:c r="I53" s="17" t="str">
        <x:v>N</x:v>
      </x:c>
      <x:c r="J53" s="20" t="n">
        <x:v>45693.62152777778</x:v>
      </x:c>
    </x:row>
    <x:row r="54">
      <x:c r="A54" s="17" t="str">
        <x:v>APP2025000050</x:v>
      </x:c>
      <x:c r="B54" s="20" t="n">
        <x:v>45700.52638888889</x:v>
      </x:c>
      <x:c r="C54" s="26" t="n">
        <x:v>688</x:v>
      </x:c>
      <x:c r="D54" s="29" t="n">
        <x:v>0.589</x:v>
      </x:c>
      <x:c r="E54" s="26" t="n">
        <x:v>1</x:v>
      </x:c>
      <x:c r="F54" s="26" t="n">
        <x:v>0</x:v>
      </x:c>
      <x:c r="G54" s="26" t="n">
        <x:v>0</x:v>
      </x:c>
      <x:c r="H54" s="26" t="n">
        <x:v>8</x:v>
      </x:c>
      <x:c r="I54" s="17" t="str">
        <x:v>N</x:v>
      </x:c>
      <x:c r="J54" s="20" t="n">
        <x:v>45700.52777777778</x:v>
      </x:c>
    </x:row>
    <x:row r="55">
      <x:c r="A55" s="17" t="str">
        <x:v>APP2025000051</x:v>
      </x:c>
      <x:c r="B55" s="20" t="n">
        <x:v>45836.43263888889</x:v>
      </x:c>
      <x:c r="C55" s="26" t="n">
        <x:v>583</x:v>
      </x:c>
      <x:c r="D55" s="29" t="n">
        <x:v>0.974</x:v>
      </x:c>
      <x:c r="E55" s="26" t="n">
        <x:v>1</x:v>
      </x:c>
      <x:c r="F55" s="26" t="n">
        <x:v>1</x:v>
      </x:c>
      <x:c r="G55" s="26" t="n">
        <x:v>58</x:v>
      </x:c>
      <x:c r="H55" s="26" t="n">
        <x:v>1</x:v>
      </x:c>
      <x:c r="I55" s="17" t="str">
        <x:v>N</x:v>
      </x:c>
      <x:c r="J55" s="20" t="n">
        <x:v>45836.43402777778</x:v>
      </x:c>
    </x:row>
    <x:row r="56">
      <x:c r="A56" s="17" t="str">
        <x:v>APP2025000052</x:v>
      </x:c>
      <x:c r="B56" s="20" t="n">
        <x:v>45659.39097222222</x:v>
      </x:c>
      <x:c r="C56" s="26" t="n">
        <x:v>620</x:v>
      </x:c>
      <x:c r="D56" s="29" t="n">
        <x:v>0.422</x:v>
      </x:c>
      <x:c r="E56" s="26" t="n">
        <x:v>3</x:v>
      </x:c>
      <x:c r="F56" s="26" t="n">
        <x:v>0</x:v>
      </x:c>
      <x:c r="G56" s="26" t="n">
        <x:v>0</x:v>
      </x:c>
      <x:c r="H56" s="26" t="n">
        <x:v>2</x:v>
      </x:c>
      <x:c r="I56" s="17" t="str">
        <x:v>N</x:v>
      </x:c>
      <x:c r="J56" s="20" t="n">
        <x:v>45659.39236111111</x:v>
      </x:c>
    </x:row>
    <x:row r="57">
      <x:c r="A57" s="17" t="str">
        <x:v>APP2025000053</x:v>
      </x:c>
      <x:c r="B57" s="20" t="n">
        <x:v>45748.66527777778</x:v>
      </x:c>
      <x:c r="C57" s="26" t="n">
        <x:v>573</x:v>
      </x:c>
      <x:c r="D57" s="29" t="n">
        <x:v>0.889</x:v>
      </x:c>
      <x:c r="E57" s="26" t="n">
        <x:v>5</x:v>
      </x:c>
      <x:c r="F57" s="26" t="n">
        <x:v>1</x:v>
      </x:c>
      <x:c r="G57" s="26" t="n">
        <x:v>12</x:v>
      </x:c>
      <x:c r="H57" s="26" t="n">
        <x:v>2</x:v>
      </x:c>
      <x:c r="I57" s="17" t="str">
        <x:v>N</x:v>
      </x:c>
      <x:c r="J57" s="20" t="n">
        <x:v>45749</x:v>
      </x:c>
    </x:row>
    <x:row r="58">
      <x:c r="A58" s="17" t="str">
        <x:v>APP2025000054</x:v>
      </x:c>
      <x:c r="B58" s="20" t="n">
        <x:v>45817.41875</x:v>
      </x:c>
      <x:c r="C58" s="26" t="n">
        <x:v>618</x:v>
      </x:c>
      <x:c r="D58" s="29" t="n">
        <x:v>0.447</x:v>
      </x:c>
      <x:c r="E58" s="26" t="n">
        <x:v>5</x:v>
      </x:c>
      <x:c r="F58" s="26" t="n">
        <x:v>0</x:v>
      </x:c>
      <x:c r="G58" s="26" t="n">
        <x:v>0</x:v>
      </x:c>
      <x:c r="H58" s="26" t="n">
        <x:v>10</x:v>
      </x:c>
      <x:c r="I58" s="17" t="str">
        <x:v>N</x:v>
      </x:c>
      <x:c r="J58" s="20" t="n">
        <x:v>45817.42013888889</x:v>
      </x:c>
    </x:row>
    <x:row r="59">
      <x:c r="A59" s="17" t="str">
        <x:v>APP2025000055</x:v>
      </x:c>
      <x:c r="B59" s="20" t="n">
        <x:v>45722.50833333333</x:v>
      </x:c>
      <x:c r="C59" s="26" t="n">
        <x:v>543</x:v>
      </x:c>
      <x:c r="D59" s="29" t="n">
        <x:v>0.917</x:v>
      </x:c>
      <x:c r="E59" s="26" t="n">
        <x:v>1</x:v>
      </x:c>
      <x:c r="F59" s="26" t="n">
        <x:v>2</x:v>
      </x:c>
      <x:c r="G59" s="26" t="n">
        <x:v>82</x:v>
      </x:c>
      <x:c r="H59" s="26" t="n">
        <x:v>1</x:v>
      </x:c>
      <x:c r="I59" s="17" t="str">
        <x:v>N</x:v>
      </x:c>
      <x:c r="J59" s="20" t="n">
        <x:v>45722.509722222225</x:v>
      </x:c>
    </x:row>
    <x:row r="60">
      <x:c r="A60" s="17" t="str">
        <x:v>APP2025000056</x:v>
      </x:c>
      <x:c r="B60" s="20" t="n">
        <x:v>45768.52222222222</x:v>
      </x:c>
      <x:c r="C60" s="26" t="n">
        <x:v>546</x:v>
      </x:c>
      <x:c r="D60" s="29" t="n">
        <x:v>0.238</x:v>
      </x:c>
      <x:c r="E60" s="26" t="n">
        <x:v>1</x:v>
      </x:c>
      <x:c r="F60" s="26" t="n">
        <x:v>4</x:v>
      </x:c>
      <x:c r="G60" s="26" t="n">
        <x:v>121</x:v>
      </x:c>
      <x:c r="H60" s="26" t="n">
        <x:v>9</x:v>
      </x:c>
      <x:c r="I60" s="17" t="str">
        <x:v>Y</x:v>
      </x:c>
      <x:c r="J60" s="20" t="n">
        <x:v>45768.52361111111</x:v>
      </x:c>
    </x:row>
    <x:row r="61">
      <x:c r="A61" s="17" t="str">
        <x:v>APP2025000057</x:v>
      </x:c>
      <x:c r="B61" s="20" t="n">
        <x:v>45769.60833333333</x:v>
      </x:c>
      <x:c r="C61" s="26" t="n">
        <x:v>708</x:v>
      </x:c>
      <x:c r="D61" s="29" t="n">
        <x:v>0.431</x:v>
      </x:c>
      <x:c r="E61" s="26" t="n">
        <x:v>5</x:v>
      </x:c>
      <x:c r="F61" s="26" t="n">
        <x:v>0</x:v>
      </x:c>
      <x:c r="G61" s="26" t="n">
        <x:v>0</x:v>
      </x:c>
      <x:c r="H61" s="26" t="n">
        <x:v>10</x:v>
      </x:c>
      <x:c r="I61" s="17" t="str">
        <x:v>N</x:v>
      </x:c>
      <x:c r="J61" s="20" t="n">
        <x:v>45769.60972222222</x:v>
      </x:c>
    </x:row>
    <x:row r="62">
      <x:c r="A62" s="17" t="str">
        <x:v>APP2025000058</x:v>
      </x:c>
      <x:c r="B62" s="20" t="n">
        <x:v>45808.46944444445</x:v>
      </x:c>
      <x:c r="C62" s="26" t="n">
        <x:v>706</x:v>
      </x:c>
      <x:c r="D62" s="29" t="n">
        <x:v>0.54</x:v>
      </x:c>
      <x:c r="E62" s="26" t="n">
        <x:v>0</x:v>
      </x:c>
      <x:c r="F62" s="26" t="n">
        <x:v>0</x:v>
      </x:c>
      <x:c r="G62" s="26" t="n">
        <x:v>0</x:v>
      </x:c>
      <x:c r="H62" s="26" t="n">
        <x:v>8</x:v>
      </x:c>
      <x:c r="I62" s="17" t="str">
        <x:v>N</x:v>
      </x:c>
      <x:c r="J62" s="20" t="n">
        <x:v>45808.47083333333</x:v>
      </x:c>
    </x:row>
    <x:row r="63">
      <x:c r="A63" s="17" t="str">
        <x:v>APP2025000059</x:v>
      </x:c>
      <x:c r="B63" s="20" t="n">
        <x:v>45833.38125</x:v>
      </x:c>
      <x:c r="C63" s="26" t="n">
        <x:v>622</x:v>
      </x:c>
      <x:c r="D63" s="29" t="n">
        <x:v>0.751</x:v>
      </x:c>
      <x:c r="E63" s="26" t="n">
        <x:v>0</x:v>
      </x:c>
      <x:c r="F63" s="26" t="n">
        <x:v>0</x:v>
      </x:c>
      <x:c r="G63" s="26" t="n">
        <x:v>0</x:v>
      </x:c>
      <x:c r="H63" s="26" t="n">
        <x:v>0</x:v>
      </x:c>
      <x:c r="I63" s="17" t="str">
        <x:v>N</x:v>
      </x:c>
      <x:c r="J63" s="20" t="n">
        <x:v>45833.38263888889</x:v>
      </x:c>
    </x:row>
    <x:row r="64">
      <x:c r="A64" s="17" t="str">
        <x:v>APP2025000060</x:v>
      </x:c>
      <x:c r="B64" s="20" t="n">
        <x:v>45759.46805555555</x:v>
      </x:c>
      <x:c r="C64" s="26" t="n">
        <x:v>599</x:v>
      </x:c>
      <x:c r="D64" s="29" t="n">
        <x:v>0.913</x:v>
      </x:c>
      <x:c r="E64" s="26" t="n">
        <x:v>5</x:v>
      </x:c>
      <x:c r="F64" s="26" t="n">
        <x:v>0</x:v>
      </x:c>
      <x:c r="G64" s="26" t="n">
        <x:v>0</x:v>
      </x:c>
      <x:c r="H64" s="26" t="n">
        <x:v>0</x:v>
      </x:c>
      <x:c r="I64" s="17" t="str">
        <x:v>Y</x:v>
      </x:c>
      <x:c r="J64" s="20" t="n">
        <x:v>45759.46944444445</x:v>
      </x:c>
    </x:row>
    <x:row r="65">
      <x:c r="A65" s="17" t="str">
        <x:v>APP2025000061</x:v>
      </x:c>
      <x:c r="B65" s="20" t="n">
        <x:v>45747.634722222225</x:v>
      </x:c>
      <x:c r="C65" s="26" t="n">
        <x:v>632</x:v>
      </x:c>
      <x:c r="D65" s="29" t="n">
        <x:v>0.995</x:v>
      </x:c>
      <x:c r="E65" s="26" t="n">
        <x:v>1</x:v>
      </x:c>
      <x:c r="F65" s="26" t="n">
        <x:v>1</x:v>
      </x:c>
      <x:c r="G65" s="26" t="n">
        <x:v>12</x:v>
      </x:c>
      <x:c r="H65" s="26" t="n">
        <x:v>10</x:v>
      </x:c>
      <x:c r="I65" s="17" t="str">
        <x:v>N</x:v>
      </x:c>
      <x:c r="J65" s="20" t="n">
        <x:v>45747.63611111111</x:v>
      </x:c>
    </x:row>
    <x:row r="66">
      <x:c r="A66" s="17" t="str">
        <x:v>APP2025000062</x:v>
      </x:c>
      <x:c r="B66" s="20" t="n">
        <x:v>45711.35138888889</x:v>
      </x:c>
      <x:c r="C66" s="26" t="n">
        <x:v>633</x:v>
      </x:c>
      <x:c r="D66" s="29" t="n">
        <x:v>1</x:v>
      </x:c>
      <x:c r="E66" s="26" t="n">
        <x:v>3</x:v>
      </x:c>
      <x:c r="F66" s="26" t="n">
        <x:v>0</x:v>
      </x:c>
      <x:c r="G66" s="26" t="n">
        <x:v>0</x:v>
      </x:c>
      <x:c r="H66" s="26" t="n">
        <x:v>11</x:v>
      </x:c>
      <x:c r="I66" s="17" t="str">
        <x:v>N</x:v>
      </x:c>
      <x:c r="J66" s="20" t="n">
        <x:v>45711.35277777778</x:v>
      </x:c>
    </x:row>
    <x:row r="67">
      <x:c r="A67" s="17" t="str">
        <x:v>APP2025000063</x:v>
      </x:c>
      <x:c r="B67" s="20" t="n">
        <x:v>45837.36875</x:v>
      </x:c>
      <x:c r="C67" s="26" t="n">
        <x:v>649</x:v>
      </x:c>
      <x:c r="D67" s="29" t="n">
        <x:v>1.013</x:v>
      </x:c>
      <x:c r="E67" s="26" t="n">
        <x:v>2</x:v>
      </x:c>
      <x:c r="F67" s="26" t="n">
        <x:v>0</x:v>
      </x:c>
      <x:c r="G67" s="26" t="n">
        <x:v>0</x:v>
      </x:c>
      <x:c r="H67" s="26" t="n">
        <x:v>8</x:v>
      </x:c>
      <x:c r="I67" s="17" t="str">
        <x:v>N</x:v>
      </x:c>
      <x:c r="J67" s="20" t="n">
        <x:v>45837.37013888889</x:v>
      </x:c>
    </x:row>
    <x:row r="68">
      <x:c r="A68" s="17" t="str">
        <x:v>APP2025000064</x:v>
      </x:c>
      <x:c r="B68" s="20" t="n">
        <x:v>45782.58541666667</x:v>
      </x:c>
      <x:c r="C68" s="26" t="n">
        <x:v>674</x:v>
      </x:c>
      <x:c r="D68" s="29" t="n">
        <x:v>0.233</x:v>
      </x:c>
      <x:c r="E68" s="26" t="n">
        <x:v>1</x:v>
      </x:c>
      <x:c r="F68" s="26" t="n">
        <x:v>0</x:v>
      </x:c>
      <x:c r="G68" s="26" t="n">
        <x:v>0</x:v>
      </x:c>
      <x:c r="H68" s="26" t="n">
        <x:v>4</x:v>
      </x:c>
      <x:c r="I68" s="17" t="str">
        <x:v>N</x:v>
      </x:c>
      <x:c r="J68" s="20" t="n">
        <x:v>45782.586805555555</x:v>
      </x:c>
    </x:row>
    <x:row r="69">
      <x:c r="A69" s="17" t="str">
        <x:v>APP2025000065</x:v>
      </x:c>
      <x:c r="B69" s="20" t="n">
        <x:v>45721.532638888886</x:v>
      </x:c>
      <x:c r="C69" s="26" t="n">
        <x:v>540</x:v>
      </x:c>
      <x:c r="D69" s="29" t="n">
        <x:v>0.698</x:v>
      </x:c>
      <x:c r="E69" s="26" t="n">
        <x:v>4</x:v>
      </x:c>
      <x:c r="F69" s="26" t="n">
        <x:v>2</x:v>
      </x:c>
      <x:c r="G69" s="26" t="n">
        <x:v>12</x:v>
      </x:c>
      <x:c r="H69" s="26" t="n">
        <x:v>6</x:v>
      </x:c>
      <x:c r="I69" s="17" t="str">
        <x:v>N</x:v>
      </x:c>
      <x:c r="J69" s="20" t="n">
        <x:v>45721.53402777778</x:v>
      </x:c>
    </x:row>
    <x:row r="70">
      <x:c r="A70" s="17" t="str">
        <x:v>APP2025000066</x:v>
      </x:c>
      <x:c r="B70" s="20" t="n">
        <x:v>45804.415972222225</x:v>
      </x:c>
      <x:c r="C70" s="26" t="n">
        <x:v>600</x:v>
      </x:c>
      <x:c r="D70" s="29" t="n">
        <x:v>0.986</x:v>
      </x:c>
      <x:c r="E70" s="26" t="n">
        <x:v>1</x:v>
      </x:c>
      <x:c r="F70" s="26" t="n">
        <x:v>0</x:v>
      </x:c>
      <x:c r="G70" s="26" t="n">
        <x:v>0</x:v>
      </x:c>
      <x:c r="H70" s="26" t="n">
        <x:v>1</x:v>
      </x:c>
      <x:c r="I70" s="17" t="str">
        <x:v>N</x:v>
      </x:c>
      <x:c r="J70" s="20" t="n">
        <x:v>45804.41736111111</x:v>
      </x:c>
    </x:row>
    <x:row r="71">
      <x:c r="A71" s="17" t="str">
        <x:v>APP2025000067</x:v>
      </x:c>
      <x:c r="B71" s="20" t="n">
        <x:v>45745.45</x:v>
      </x:c>
      <x:c r="C71" s="26" t="n">
        <x:v>643</x:v>
      </x:c>
      <x:c r="D71" s="29" t="n">
        <x:v>0.576</x:v>
      </x:c>
      <x:c r="E71" s="26" t="n">
        <x:v>3</x:v>
      </x:c>
      <x:c r="F71" s="26" t="n">
        <x:v>1</x:v>
      </x:c>
      <x:c r="G71" s="26" t="n">
        <x:v>13</x:v>
      </x:c>
      <x:c r="H71" s="26" t="n">
        <x:v>3</x:v>
      </x:c>
      <x:c r="I71" s="17" t="str">
        <x:v>Y</x:v>
      </x:c>
      <x:c r="J71" s="20" t="n">
        <x:v>45745.45138888889</x:v>
      </x:c>
    </x:row>
    <x:row r="72">
      <x:c r="A72" s="17" t="str">
        <x:v>APP2025000068</x:v>
      </x:c>
      <x:c r="B72" s="20" t="n">
        <x:v>45736.67569444444</x:v>
      </x:c>
      <x:c r="C72" s="26" t="n">
        <x:v>616</x:v>
      </x:c>
      <x:c r="D72" s="29" t="n">
        <x:v>0.912</x:v>
      </x:c>
      <x:c r="E72" s="26" t="n">
        <x:v>1</x:v>
      </x:c>
      <x:c r="F72" s="26" t="n">
        <x:v>0</x:v>
      </x:c>
      <x:c r="G72" s="26" t="n">
        <x:v>0</x:v>
      </x:c>
      <x:c r="H72" s="26" t="n">
        <x:v>7</x:v>
      </x:c>
      <x:c r="I72" s="17" t="str">
        <x:v>N</x:v>
      </x:c>
      <x:c r="J72" s="20" t="n">
        <x:v>45736.677083333336</x:v>
      </x:c>
    </x:row>
    <x:row r="73">
      <x:c r="A73" s="17" t="str">
        <x:v>APP2025000069</x:v>
      </x:c>
      <x:c r="B73" s="20" t="n">
        <x:v>45832.40625</x:v>
      </x:c>
      <x:c r="C73" s="26" t="n">
        <x:v>611</x:v>
      </x:c>
      <x:c r="D73" s="29" t="n">
        <x:v>0.83</x:v>
      </x:c>
      <x:c r="E73" s="26" t="n">
        <x:v>4</x:v>
      </x:c>
      <x:c r="F73" s="26" t="n">
        <x:v>1</x:v>
      </x:c>
      <x:c r="G73" s="26" t="n">
        <x:v>61</x:v>
      </x:c>
      <x:c r="H73" s="26" t="n">
        <x:v>3</x:v>
      </x:c>
      <x:c r="I73" s="17" t="str">
        <x:v>N</x:v>
      </x:c>
      <x:c r="J73" s="20" t="n">
        <x:v>45832.407638888886</x:v>
      </x:c>
    </x:row>
    <x:row r="74">
      <x:c r="A74" s="17" t="str">
        <x:v>APP2025000070</x:v>
      </x:c>
      <x:c r="B74" s="20" t="n">
        <x:v>45673.61388888889</x:v>
      </x:c>
      <x:c r="C74" s="26" t="n">
        <x:v>657</x:v>
      </x:c>
      <x:c r="D74" s="29" t="n">
        <x:v>0.307</x:v>
      </x:c>
      <x:c r="E74" s="26" t="n">
        <x:v>1</x:v>
      </x:c>
      <x:c r="F74" s="26" t="n">
        <x:v>0</x:v>
      </x:c>
      <x:c r="G74" s="26" t="n">
        <x:v>0</x:v>
      </x:c>
      <x:c r="H74" s="26" t="n">
        <x:v>0</x:v>
      </x:c>
      <x:c r="I74" s="17" t="str">
        <x:v>N</x:v>
      </x:c>
      <x:c r="J74" s="20" t="n">
        <x:v>45673.615277777775</x:v>
      </x:c>
    </x:row>
    <x:row r="75">
      <x:c r="A75" s="17" t="str">
        <x:v>APP2025000071</x:v>
      </x:c>
      <x:c r="B75" s="20" t="n">
        <x:v>45807.660416666666</x:v>
      </x:c>
      <x:c r="C75" s="26" t="n">
        <x:v>689</x:v>
      </x:c>
      <x:c r="D75" s="29" t="n">
        <x:v>0.533</x:v>
      </x:c>
      <x:c r="E75" s="26" t="n">
        <x:v>2</x:v>
      </x:c>
      <x:c r="F75" s="26" t="n">
        <x:v>0</x:v>
      </x:c>
      <x:c r="G75" s="26" t="n">
        <x:v>0</x:v>
      </x:c>
      <x:c r="H75" s="26" t="n">
        <x:v>9</x:v>
      </x:c>
      <x:c r="I75" s="17" t="str">
        <x:v>N</x:v>
      </x:c>
      <x:c r="J75" s="20" t="n">
        <x:v>45807.66180555556</x:v>
      </x:c>
    </x:row>
    <x:row r="76">
      <x:c r="A76" s="17" t="str">
        <x:v>APP2025000072</x:v>
      </x:c>
      <x:c r="B76" s="20" t="n">
        <x:v>45695.629166666666</x:v>
      </x:c>
      <x:c r="C76" s="26" t="n">
        <x:v>570</x:v>
      </x:c>
      <x:c r="D76" s="29" t="n">
        <x:v>0.796</x:v>
      </x:c>
      <x:c r="E76" s="26" t="n">
        <x:v>1</x:v>
      </x:c>
      <x:c r="F76" s="26" t="n">
        <x:v>2</x:v>
      </x:c>
      <x:c r="G76" s="26" t="n">
        <x:v>72</x:v>
      </x:c>
      <x:c r="H76" s="26" t="n">
        <x:v>0</x:v>
      </x:c>
      <x:c r="I76" s="17" t="str">
        <x:v>N</x:v>
      </x:c>
      <x:c r="J76" s="20" t="n">
        <x:v>45695.63055555556</x:v>
      </x:c>
    </x:row>
    <x:row r="77">
      <x:c r="A77" s="17" t="str">
        <x:v>APP2025000073</x:v>
      </x:c>
      <x:c r="B77" s="20" t="n">
        <x:v>45668.33194444444</x:v>
      </x:c>
      <x:c r="C77" s="26" t="n">
        <x:v>573</x:v>
      </x:c>
      <x:c r="D77" s="29" t="n">
        <x:v>0.19</x:v>
      </x:c>
      <x:c r="E77" s="26" t="n">
        <x:v>1</x:v>
      </x:c>
      <x:c r="F77" s="26" t="n">
        <x:v>2</x:v>
      </x:c>
      <x:c r="G77" s="26" t="n">
        <x:v>55</x:v>
      </x:c>
      <x:c r="H77" s="26" t="n">
        <x:v>2</x:v>
      </x:c>
      <x:c r="I77" s="17" t="str">
        <x:v>N</x:v>
      </x:c>
      <x:c r="J77" s="20" t="n">
        <x:v>45668.333333333336</x:v>
      </x:c>
    </x:row>
    <x:row r="78">
      <x:c r="A78" s="17" t="str">
        <x:v>APP2025000074</x:v>
      </x:c>
      <x:c r="B78" s="20" t="n">
        <x:v>45722.63888888889</x:v>
      </x:c>
      <x:c r="C78" s="26" t="n">
        <x:v>644</x:v>
      </x:c>
      <x:c r="D78" s="29" t="n">
        <x:v>0.701</x:v>
      </x:c>
      <x:c r="E78" s="26" t="n">
        <x:v>2</x:v>
      </x:c>
      <x:c r="F78" s="26" t="n">
        <x:v>0</x:v>
      </x:c>
      <x:c r="G78" s="26" t="n">
        <x:v>0</x:v>
      </x:c>
      <x:c r="H78" s="26" t="n">
        <x:v>10</x:v>
      </x:c>
      <x:c r="I78" s="17" t="str">
        <x:v>N</x:v>
      </x:c>
      <x:c r="J78" s="20" t="n">
        <x:v>45722.64027777778</x:v>
      </x:c>
    </x:row>
    <x:row r="79">
      <x:c r="A79" s="17" t="str">
        <x:v>APP2025000075</x:v>
      </x:c>
      <x:c r="B79" s="20" t="n">
        <x:v>45664.56041666667</x:v>
      </x:c>
      <x:c r="C79" s="26" t="n">
        <x:v>657</x:v>
      </x:c>
      <x:c r="D79" s="29" t="n">
        <x:v>0.227</x:v>
      </x:c>
      <x:c r="E79" s="26" t="n">
        <x:v>0</x:v>
      </x:c>
      <x:c r="F79" s="26" t="n">
        <x:v>0</x:v>
      </x:c>
      <x:c r="G79" s="26" t="n">
        <x:v>0</x:v>
      </x:c>
      <x:c r="H79" s="26" t="n">
        <x:v>0</x:v>
      </x:c>
      <x:c r="I79" s="17" t="str">
        <x:v>N</x:v>
      </x:c>
      <x:c r="J79" s="20" t="n">
        <x:v>45664.56180555555</x:v>
      </x:c>
    </x:row>
    <x:row r="80">
      <x:c r="A80" s="17" t="str">
        <x:v>APP2025000076</x:v>
      </x:c>
      <x:c r="B80" s="20" t="n">
        <x:v>45765.6375</x:v>
      </x:c>
      <x:c r="C80" s="26" t="n">
        <x:v>602</x:v>
      </x:c>
      <x:c r="D80" s="29" t="n">
        <x:v>0.839</x:v>
      </x:c>
      <x:c r="E80" s="26" t="n">
        <x:v>3</x:v>
      </x:c>
      <x:c r="F80" s="26" t="n">
        <x:v>1</x:v>
      </x:c>
      <x:c r="G80" s="26" t="n">
        <x:v>33</x:v>
      </x:c>
      <x:c r="H80" s="26" t="n">
        <x:v>9</x:v>
      </x:c>
      <x:c r="I80" s="17" t="str">
        <x:v>N</x:v>
      </x:c>
      <x:c r="J80" s="20" t="n">
        <x:v>45765.63888888889</x:v>
      </x:c>
    </x:row>
    <x:row r="81">
      <x:c r="A81" s="17" t="str">
        <x:v>APP2025000077</x:v>
      </x:c>
      <x:c r="B81" s="20" t="n">
        <x:v>45828.34722222222</x:v>
      </x:c>
      <x:c r="C81" s="26" t="n">
        <x:v>631</x:v>
      </x:c>
      <x:c r="D81" s="29" t="n">
        <x:v>0.495</x:v>
      </x:c>
      <x:c r="E81" s="26" t="n">
        <x:v>4</x:v>
      </x:c>
      <x:c r="F81" s="26" t="n">
        <x:v>0</x:v>
      </x:c>
      <x:c r="G81" s="26" t="n">
        <x:v>0</x:v>
      </x:c>
      <x:c r="H81" s="26" t="n">
        <x:v>2</x:v>
      </x:c>
      <x:c r="I81" s="17" t="str">
        <x:v>N</x:v>
      </x:c>
      <x:c r="J81" s="20" t="n">
        <x:v>45828.34861111111</x:v>
      </x:c>
    </x:row>
    <x:row r="82">
      <x:c r="A82" s="17" t="str">
        <x:v>APP2025000078</x:v>
      </x:c>
      <x:c r="B82" s="20" t="n">
        <x:v>45704.4125</x:v>
      </x:c>
      <x:c r="C82" s="26" t="n">
        <x:v>650</x:v>
      </x:c>
      <x:c r="D82" s="29" t="n">
        <x:v>0.862</x:v>
      </x:c>
      <x:c r="E82" s="26" t="n">
        <x:v>0</x:v>
      </x:c>
      <x:c r="F82" s="26" t="n">
        <x:v>1</x:v>
      </x:c>
      <x:c r="G82" s="26" t="n">
        <x:v>36</x:v>
      </x:c>
      <x:c r="H82" s="26" t="n">
        <x:v>8</x:v>
      </x:c>
      <x:c r="I82" s="17" t="str">
        <x:v>N</x:v>
      </x:c>
      <x:c r="J82" s="20" t="n">
        <x:v>45704.41388888889</x:v>
      </x:c>
    </x:row>
    <x:row r="83">
      <x:c r="A83" s="17" t="str">
        <x:v>APP2025000079</x:v>
      </x:c>
      <x:c r="B83" s="20" t="n">
        <x:v>45770.36944444444</x:v>
      </x:c>
      <x:c r="C83" s="26" t="n">
        <x:v>614</x:v>
      </x:c>
      <x:c r="D83" s="29" t="n">
        <x:v>0.913</x:v>
      </x:c>
      <x:c r="E83" s="26" t="n">
        <x:v>3</x:v>
      </x:c>
      <x:c r="F83" s="26" t="n">
        <x:v>0</x:v>
      </x:c>
      <x:c r="G83" s="26" t="n">
        <x:v>0</x:v>
      </x:c>
      <x:c r="H83" s="26" t="n">
        <x:v>2</x:v>
      </x:c>
      <x:c r="I83" s="17" t="str">
        <x:v>N</x:v>
      </x:c>
      <x:c r="J83" s="20" t="n">
        <x:v>45770.370833333334</x:v>
      </x:c>
    </x:row>
    <x:row r="84">
      <x:c r="A84" s="17" t="str">
        <x:v>APP2025000080</x:v>
      </x:c>
      <x:c r="B84" s="20" t="n">
        <x:v>45797.60555555556</x:v>
      </x:c>
      <x:c r="C84" s="26" t="n">
        <x:v>430</x:v>
      </x:c>
      <x:c r="D84" s="29" t="n">
        <x:v>0.952</x:v>
      </x:c>
      <x:c r="E84" s="26" t="n">
        <x:v>5</x:v>
      </x:c>
      <x:c r="F84" s="26" t="n">
        <x:v>5</x:v>
      </x:c>
      <x:c r="G84" s="26" t="n">
        <x:v>63</x:v>
      </x:c>
      <x:c r="H84" s="26" t="n">
        <x:v>8</x:v>
      </x:c>
      <x:c r="I84" s="17" t="str">
        <x:v>N</x:v>
      </x:c>
      <x:c r="J84" s="20" t="n">
        <x:v>45797.606944444444</x:v>
      </x:c>
    </x:row>
    <x:row r="85">
      <x:c r="A85" s="17" t="str">
        <x:v>APP2025000081</x:v>
      </x:c>
      <x:c r="B85" s="20" t="n">
        <x:v>45814.45486111111</x:v>
      </x:c>
      <x:c r="C85" s="26" t="n">
        <x:v>606</x:v>
      </x:c>
      <x:c r="D85" s="29" t="n">
        <x:v>0.981</x:v>
      </x:c>
      <x:c r="E85" s="26" t="n">
        <x:v>0</x:v>
      </x:c>
      <x:c r="F85" s="26" t="n">
        <x:v>0</x:v>
      </x:c>
      <x:c r="G85" s="26" t="n">
        <x:v>0</x:v>
      </x:c>
      <x:c r="H85" s="26" t="n">
        <x:v>10</x:v>
      </x:c>
      <x:c r="I85" s="17" t="str">
        <x:v>N</x:v>
      </x:c>
      <x:c r="J85" s="20" t="n">
        <x:v>45814.45625</x:v>
      </x:c>
    </x:row>
    <x:row r="86">
      <x:c r="A86" s="17" t="str">
        <x:v>APP2025000082</x:v>
      </x:c>
      <x:c r="B86" s="20" t="n">
        <x:v>45788.53472222222</x:v>
      </x:c>
      <x:c r="C86" s="26" t="n">
        <x:v>711</x:v>
      </x:c>
      <x:c r="D86" s="29" t="n">
        <x:v>0.217</x:v>
      </x:c>
      <x:c r="E86" s="26" t="n">
        <x:v>5</x:v>
      </x:c>
      <x:c r="F86" s="26" t="n">
        <x:v>0</x:v>
      </x:c>
      <x:c r="G86" s="26" t="n">
        <x:v>0</x:v>
      </x:c>
      <x:c r="H86" s="26" t="n">
        <x:v>8</x:v>
      </x:c>
      <x:c r="I86" s="17" t="str">
        <x:v>N</x:v>
      </x:c>
      <x:c r="J86" s="20" t="n">
        <x:v>45788.53611111111</x:v>
      </x:c>
    </x:row>
    <x:row r="87">
      <x:c r="A87" s="17" t="str">
        <x:v>APP2025000083</x:v>
      </x:c>
      <x:c r="B87" s="20" t="n">
        <x:v>45741.45694444444</x:v>
      </x:c>
      <x:c r="C87" s="26" t="n">
        <x:v>603</x:v>
      </x:c>
      <x:c r="D87" s="29" t="n">
        <x:v>0.277</x:v>
      </x:c>
      <x:c r="E87" s="26" t="n">
        <x:v>2</x:v>
      </x:c>
      <x:c r="F87" s="26" t="n">
        <x:v>1</x:v>
      </x:c>
      <x:c r="G87" s="26" t="n">
        <x:v>69</x:v>
      </x:c>
      <x:c r="H87" s="26" t="n">
        <x:v>2</x:v>
      </x:c>
      <x:c r="I87" s="17" t="str">
        <x:v>N</x:v>
      </x:c>
      <x:c r="J87" s="20" t="n">
        <x:v>45741.458333333336</x:v>
      </x:c>
    </x:row>
    <x:row r="88">
      <x:c r="A88" s="17" t="str">
        <x:v>APP2025000084</x:v>
      </x:c>
      <x:c r="B88" s="20" t="n">
        <x:v>45779.57986111111</x:v>
      </x:c>
      <x:c r="C88" s="26" t="n">
        <x:v>616</x:v>
      </x:c>
      <x:c r="D88" s="29" t="n">
        <x:v>0.616</x:v>
      </x:c>
      <x:c r="E88" s="26" t="n">
        <x:v>3</x:v>
      </x:c>
      <x:c r="F88" s="26" t="n">
        <x:v>0</x:v>
      </x:c>
      <x:c r="G88" s="26" t="n">
        <x:v>0</x:v>
      </x:c>
      <x:c r="H88" s="26" t="n">
        <x:v>11</x:v>
      </x:c>
      <x:c r="I88" s="17" t="str">
        <x:v>N</x:v>
      </x:c>
      <x:c r="J88" s="20" t="n">
        <x:v>45779.58125</x:v>
      </x:c>
    </x:row>
    <x:row r="89">
      <x:c r="A89" s="17" t="str">
        <x:v>APP2025000085</x:v>
      </x:c>
      <x:c r="B89" s="20" t="n">
        <x:v>45837.419444444444</x:v>
      </x:c>
      <x:c r="C89" s="26" t="n">
        <x:v>598</x:v>
      </x:c>
      <x:c r="D89" s="29" t="n">
        <x:v>0.909</x:v>
      </x:c>
      <x:c r="E89" s="26" t="n">
        <x:v>5</x:v>
      </x:c>
      <x:c r="F89" s="26" t="n">
        <x:v>2</x:v>
      </x:c>
      <x:c r="G89" s="26" t="n">
        <x:v>71</x:v>
      </x:c>
      <x:c r="H89" s="26" t="n">
        <x:v>11</x:v>
      </x:c>
      <x:c r="I89" s="17" t="str">
        <x:v>N</x:v>
      </x:c>
      <x:c r="J89" s="20" t="n">
        <x:v>45837.42083333333</x:v>
      </x:c>
    </x:row>
    <x:row r="90">
      <x:c r="A90" s="17" t="str">
        <x:v>APP2025000086</x:v>
      </x:c>
      <x:c r="B90" s="20" t="n">
        <x:v>45676.57916666667</x:v>
      </x:c>
      <x:c r="C90" s="26" t="n">
        <x:v>692</x:v>
      </x:c>
      <x:c r="D90" s="29" t="n">
        <x:v>0.324</x:v>
      </x:c>
      <x:c r="E90" s="26" t="n">
        <x:v>4</x:v>
      </x:c>
      <x:c r="F90" s="26" t="n">
        <x:v>0</x:v>
      </x:c>
      <x:c r="G90" s="26" t="n">
        <x:v>0</x:v>
      </x:c>
      <x:c r="H90" s="26" t="n">
        <x:v>7</x:v>
      </x:c>
      <x:c r="I90" s="17" t="str">
        <x:v>N</x:v>
      </x:c>
      <x:c r="J90" s="20" t="n">
        <x:v>45676.580555555556</x:v>
      </x:c>
    </x:row>
    <x:row r="91">
      <x:c r="A91" s="17" t="str">
        <x:v>APP2025000087</x:v>
      </x:c>
      <x:c r="B91" s="20" t="n">
        <x:v>45752.35833333333</x:v>
      </x:c>
      <x:c r="C91" s="26" t="n">
        <x:v>638</x:v>
      </x:c>
      <x:c r="D91" s="29" t="n">
        <x:v>0.282</x:v>
      </x:c>
      <x:c r="E91" s="26" t="n">
        <x:v>5</x:v>
      </x:c>
      <x:c r="F91" s="26" t="n">
        <x:v>0</x:v>
      </x:c>
      <x:c r="G91" s="26" t="n">
        <x:v>0</x:v>
      </x:c>
      <x:c r="H91" s="26" t="n">
        <x:v>10</x:v>
      </x:c>
      <x:c r="I91" s="17" t="str">
        <x:v>N</x:v>
      </x:c>
      <x:c r="J91" s="20" t="n">
        <x:v>45752.35972222222</x:v>
      </x:c>
    </x:row>
    <x:row r="92">
      <x:c r="A92" s="17" t="str">
        <x:v>APP2025000088</x:v>
      </x:c>
      <x:c r="B92" s="20" t="n">
        <x:v>45699.71944444445</x:v>
      </x:c>
      <x:c r="C92" s="26" t="n">
        <x:v>614</x:v>
      </x:c>
      <x:c r="D92" s="29" t="n">
        <x:v>0.658</x:v>
      </x:c>
      <x:c r="E92" s="26" t="n">
        <x:v>0</x:v>
      </x:c>
      <x:c r="F92" s="26" t="n">
        <x:v>0</x:v>
      </x:c>
      <x:c r="G92" s="26" t="n">
        <x:v>0</x:v>
      </x:c>
      <x:c r="H92" s="26" t="n">
        <x:v>7</x:v>
      </x:c>
      <x:c r="I92" s="17" t="str">
        <x:v>N</x:v>
      </x:c>
      <x:c r="J92" s="20" t="n">
        <x:v>45699.72083333333</x:v>
      </x:c>
    </x:row>
    <x:row r="93">
      <x:c r="A93" s="17" t="str">
        <x:v>APP2025000089</x:v>
      </x:c>
      <x:c r="B93" s="20" t="n">
        <x:v>45798.461805555555</x:v>
      </x:c>
      <x:c r="C93" s="26" t="n">
        <x:v>711</x:v>
      </x:c>
      <x:c r="D93" s="29" t="n">
        <x:v>0.386</x:v>
      </x:c>
      <x:c r="E93" s="26" t="n">
        <x:v>3</x:v>
      </x:c>
      <x:c r="F93" s="26" t="n">
        <x:v>0</x:v>
      </x:c>
      <x:c r="G93" s="26" t="n">
        <x:v>0</x:v>
      </x:c>
      <x:c r="H93" s="26" t="n">
        <x:v>7</x:v>
      </x:c>
      <x:c r="I93" s="17" t="str">
        <x:v>N</x:v>
      </x:c>
      <x:c r="J93" s="20" t="n">
        <x:v>45798.46319444444</x:v>
      </x:c>
    </x:row>
    <x:row r="94">
      <x:c r="A94" s="17" t="str">
        <x:v>APP2025000090</x:v>
      </x:c>
      <x:c r="B94" s="20" t="n">
        <x:v>45726.6625</x:v>
      </x:c>
      <x:c r="C94" s="26" t="n">
        <x:v>605</x:v>
      </x:c>
      <x:c r="D94" s="29" t="n">
        <x:v>0.938</x:v>
      </x:c>
      <x:c r="E94" s="26" t="n">
        <x:v>4</x:v>
      </x:c>
      <x:c r="F94" s="26" t="n">
        <x:v>1</x:v>
      </x:c>
      <x:c r="G94" s="26" t="n">
        <x:v>15</x:v>
      </x:c>
      <x:c r="H94" s="26" t="n">
        <x:v>8</x:v>
      </x:c>
      <x:c r="I94" s="17" t="str">
        <x:v>N</x:v>
      </x:c>
      <x:c r="J94" s="20" t="n">
        <x:v>45726.66388888889</x:v>
      </x:c>
    </x:row>
    <x:row r="95">
      <x:c r="A95" s="17" t="str">
        <x:v>APP2025000091</x:v>
      </x:c>
      <x:c r="B95" s="20" t="n">
        <x:v>45793.5375</x:v>
      </x:c>
      <x:c r="C95" s="26" t="n">
        <x:v>566</x:v>
      </x:c>
      <x:c r="D95" s="29" t="n">
        <x:v>0.537</x:v>
      </x:c>
      <x:c r="E95" s="26" t="n">
        <x:v>0</x:v>
      </x:c>
      <x:c r="F95" s="26" t="n">
        <x:v>2</x:v>
      </x:c>
      <x:c r="G95" s="26" t="n">
        <x:v>26</x:v>
      </x:c>
      <x:c r="H95" s="26" t="n">
        <x:v>3</x:v>
      </x:c>
      <x:c r="I95" s="17" t="str">
        <x:v>N</x:v>
      </x:c>
      <x:c r="J95" s="20" t="n">
        <x:v>45793.53888888889</x:v>
      </x:c>
    </x:row>
    <x:row r="96">
      <x:c r="A96" s="17" t="str">
        <x:v>APP2025000092</x:v>
      </x:c>
      <x:c r="B96" s="20" t="n">
        <x:v>45796.524305555555</x:v>
      </x:c>
      <x:c r="C96" s="26" t="n">
        <x:v>624</x:v>
      </x:c>
      <x:c r="D96" s="29" t="n">
        <x:v>0.459</x:v>
      </x:c>
      <x:c r="E96" s="26" t="n">
        <x:v>5</x:v>
      </x:c>
      <x:c r="F96" s="26" t="n">
        <x:v>0</x:v>
      </x:c>
      <x:c r="G96" s="26" t="n">
        <x:v>0</x:v>
      </x:c>
      <x:c r="H96" s="26" t="n">
        <x:v>4</x:v>
      </x:c>
      <x:c r="I96" s="17" t="str">
        <x:v>N</x:v>
      </x:c>
      <x:c r="J96" s="20" t="n">
        <x:v>45796.52569444444</x:v>
      </x:c>
    </x:row>
    <x:row r="97">
      <x:c r="A97" s="17" t="str">
        <x:v>APP2025000093</x:v>
      </x:c>
      <x:c r="B97" s="20" t="n">
        <x:v>45712.436111111114</x:v>
      </x:c>
      <x:c r="C97" s="26" t="n">
        <x:v>705</x:v>
      </x:c>
      <x:c r="D97" s="29" t="n">
        <x:v>0.389</x:v>
      </x:c>
      <x:c r="E97" s="26" t="n">
        <x:v>3</x:v>
      </x:c>
      <x:c r="F97" s="26" t="n">
        <x:v>0</x:v>
      </x:c>
      <x:c r="G97" s="26" t="n">
        <x:v>0</x:v>
      </x:c>
      <x:c r="H97" s="26" t="n">
        <x:v>9</x:v>
      </x:c>
      <x:c r="I97" s="17" t="str">
        <x:v>Y</x:v>
      </x:c>
      <x:c r="J97" s="20" t="n">
        <x:v>45712.4375</x:v>
      </x:c>
    </x:row>
    <x:row r="98">
      <x:c r="A98" s="17" t="str">
        <x:v>APP2025000094</x:v>
      </x:c>
      <x:c r="B98" s="20" t="n">
        <x:v>45735.30416666667</x:v>
      </x:c>
      <x:c r="C98" s="26" t="n">
        <x:v>602</x:v>
      </x:c>
      <x:c r="D98" s="29" t="n">
        <x:v>0.896</x:v>
      </x:c>
      <x:c r="E98" s="26" t="n">
        <x:v>4</x:v>
      </x:c>
      <x:c r="F98" s="26" t="n">
        <x:v>2</x:v>
      </x:c>
      <x:c r="G98" s="26" t="n">
        <x:v>44</x:v>
      </x:c>
      <x:c r="H98" s="26" t="n">
        <x:v>8</x:v>
      </x:c>
      <x:c r="I98" s="17" t="str">
        <x:v>N</x:v>
      </x:c>
      <x:c r="J98" s="20" t="n">
        <x:v>45735.305555555555</x:v>
      </x:c>
    </x:row>
    <x:row r="99">
      <x:c r="A99" s="17" t="str">
        <x:v>APP2025000095</x:v>
      </x:c>
      <x:c r="B99" s="20" t="n">
        <x:v>45661.59861111111</x:v>
      </x:c>
      <x:c r="C99" s="26" t="n">
        <x:v>622</x:v>
      </x:c>
      <x:c r="D99" s="29" t="n">
        <x:v>0.858</x:v>
      </x:c>
      <x:c r="E99" s="26" t="n">
        <x:v>1</x:v>
      </x:c>
      <x:c r="F99" s="26" t="n">
        <x:v>0</x:v>
      </x:c>
      <x:c r="G99" s="26" t="n">
        <x:v>0</x:v>
      </x:c>
      <x:c r="H99" s="26" t="n">
        <x:v>5</x:v>
      </x:c>
      <x:c r="I99" s="17" t="str">
        <x:v>N</x:v>
      </x:c>
      <x:c r="J99" s="20" t="n">
        <x:v>45661.6</x:v>
      </x:c>
    </x:row>
    <x:row r="100">
      <x:c r="A100" s="17" t="str">
        <x:v>APP2025000096</x:v>
      </x:c>
      <x:c r="B100" s="20" t="n">
        <x:v>45827.45277777778</x:v>
      </x:c>
      <x:c r="C100" s="26" t="n">
        <x:v>694</x:v>
      </x:c>
      <x:c r="D100" s="29" t="n">
        <x:v>0.71</x:v>
      </x:c>
      <x:c r="E100" s="26" t="n">
        <x:v>2</x:v>
      </x:c>
      <x:c r="F100" s="26" t="n">
        <x:v>0</x:v>
      </x:c>
      <x:c r="G100" s="26" t="n">
        <x:v>0</x:v>
      </x:c>
      <x:c r="H100" s="26" t="n">
        <x:v>11</x:v>
      </x:c>
      <x:c r="I100" s="17" t="str">
        <x:v>N</x:v>
      </x:c>
      <x:c r="J100" s="20" t="n">
        <x:v>45827.45416666667</x:v>
      </x:c>
    </x:row>
    <x:row r="101">
      <x:c r="A101" s="17" t="str">
        <x:v>APP2025000097</x:v>
      </x:c>
      <x:c r="B101" s="20" t="n">
        <x:v>45677.68958333333</x:v>
      </x:c>
      <x:c r="C101" s="26" t="n">
        <x:v>645</x:v>
      </x:c>
      <x:c r="D101" s="29"/>
      <x:c r="E101" s="26" t="n">
        <x:v>2</x:v>
      </x:c>
      <x:c r="F101" s="26" t="n">
        <x:v>0</x:v>
      </x:c>
      <x:c r="G101" s="26" t="n">
        <x:v>0</x:v>
      </x:c>
      <x:c r="H101" s="26" t="n">
        <x:v>3</x:v>
      </x:c>
      <x:c r="I101" s="17" t="str">
        <x:v>N</x:v>
      </x:c>
      <x:c r="J101" s="20" t="n">
        <x:v>45677.69097222222</x:v>
      </x:c>
    </x:row>
    <x:row r="102">
      <x:c r="A102" s="17" t="str">
        <x:v>APP2025000098</x:v>
      </x:c>
      <x:c r="B102" s="20" t="n">
        <x:v>45710.55694444444</x:v>
      </x:c>
      <x:c r="C102" s="26" t="n">
        <x:v>558</x:v>
      </x:c>
      <x:c r="D102" s="29" t="n">
        <x:v>0.8</x:v>
      </x:c>
      <x:c r="E102" s="26" t="n">
        <x:v>5</x:v>
      </x:c>
      <x:c r="F102" s="26" t="n">
        <x:v>1</x:v>
      </x:c>
      <x:c r="G102" s="26" t="n">
        <x:v>78</x:v>
      </x:c>
      <x:c r="H102" s="26" t="n">
        <x:v>7</x:v>
      </x:c>
      <x:c r="I102" s="17" t="str">
        <x:v>N</x:v>
      </x:c>
      <x:c r="J102" s="20" t="n">
        <x:v>45710.558333333334</x:v>
      </x:c>
    </x:row>
    <x:row r="103">
      <x:c r="A103" s="17" t="str">
        <x:v>APP2025000099</x:v>
      </x:c>
      <x:c r="B103" s="20" t="n">
        <x:v>45792.53472222222</x:v>
      </x:c>
      <x:c r="C103" s="26" t="n">
        <x:v>671</x:v>
      </x:c>
      <x:c r="D103" s="29" t="n">
        <x:v>0.743</x:v>
      </x:c>
      <x:c r="E103" s="26" t="n">
        <x:v>0</x:v>
      </x:c>
      <x:c r="F103" s="26" t="n">
        <x:v>0</x:v>
      </x:c>
      <x:c r="G103" s="26" t="n">
        <x:v>0</x:v>
      </x:c>
      <x:c r="H103" s="26" t="n">
        <x:v>0</x:v>
      </x:c>
      <x:c r="I103" s="17" t="str">
        <x:v>Y</x:v>
      </x:c>
      <x:c r="J103" s="20" t="n">
        <x:v>45792.53611111111</x:v>
      </x:c>
    </x:row>
    <x:row r="104">
      <x:c r="A104" s="17" t="str">
        <x:v>APP2025000100</x:v>
      </x:c>
      <x:c r="B104" s="20" t="n">
        <x:v>45683.72430555556</x:v>
      </x:c>
      <x:c r="C104" s="26" t="n">
        <x:v>430</x:v>
      </x:c>
      <x:c r="D104" s="29" t="n">
        <x:v>0.954</x:v>
      </x:c>
      <x:c r="E104" s="26" t="n">
        <x:v>1</x:v>
      </x:c>
      <x:c r="F104" s="26" t="n">
        <x:v>5</x:v>
      </x:c>
      <x:c r="G104" s="26" t="n">
        <x:v>78</x:v>
      </x:c>
      <x:c r="H104" s="26" t="n">
        <x:v>8</x:v>
      </x:c>
      <x:c r="I104" s="17" t="str">
        <x:v>N</x:v>
      </x:c>
      <x:c r="J104" s="20" t="n">
        <x:v>45683.725694444445</x:v>
      </x:c>
    </x:row>
    <x:row r="105">
      <x:c r="A105" s="17" t="str">
        <x:v>APP2025000101</x:v>
      </x:c>
      <x:c r="B105" s="20" t="n">
        <x:v>45830.52222222222</x:v>
      </x:c>
      <x:c r="C105" s="26" t="n">
        <x:v>571</x:v>
      </x:c>
      <x:c r="D105" s="29" t="n">
        <x:v>0.592</x:v>
      </x:c>
      <x:c r="E105" s="26" t="n">
        <x:v>2</x:v>
      </x:c>
      <x:c r="F105" s="26" t="n">
        <x:v>1</x:v>
      </x:c>
      <x:c r="G105" s="26" t="n">
        <x:v>10</x:v>
      </x:c>
      <x:c r="H105" s="26" t="n">
        <x:v>6</x:v>
      </x:c>
      <x:c r="I105" s="17" t="str">
        <x:v>N</x:v>
      </x:c>
      <x:c r="J105" s="20" t="n">
        <x:v>45830.52361111111</x:v>
      </x:c>
    </x:row>
    <x:row r="106">
      <x:c r="A106" s="17" t="str">
        <x:v>APP2025000102</x:v>
      </x:c>
      <x:c r="B106" s="20" t="n">
        <x:v>45778.481944444444</x:v>
      </x:c>
      <x:c r="C106" s="26" t="n">
        <x:v>700</x:v>
      </x:c>
      <x:c r="D106" s="29" t="n">
        <x:v>0.198</x:v>
      </x:c>
      <x:c r="E106" s="26" t="n">
        <x:v>5</x:v>
      </x:c>
      <x:c r="F106" s="26" t="n">
        <x:v>0</x:v>
      </x:c>
      <x:c r="G106" s="26" t="n">
        <x:v>0</x:v>
      </x:c>
      <x:c r="H106" s="26" t="n">
        <x:v>6</x:v>
      </x:c>
      <x:c r="I106" s="17" t="str">
        <x:v>N</x:v>
      </x:c>
      <x:c r="J106" s="20" t="n">
        <x:v>45778.48333333333</x:v>
      </x:c>
    </x:row>
    <x:row r="107">
      <x:c r="A107" s="17" t="str">
        <x:v>APP2025000103</x:v>
      </x:c>
      <x:c r="B107" s="20" t="n">
        <x:v>45731.60763888889</x:v>
      </x:c>
      <x:c r="C107" s="26" t="n">
        <x:v>634</x:v>
      </x:c>
      <x:c r="D107" s="29" t="n">
        <x:v>0.511</x:v>
      </x:c>
      <x:c r="E107" s="26" t="n">
        <x:v>5</x:v>
      </x:c>
      <x:c r="F107" s="26" t="n">
        <x:v>0</x:v>
      </x:c>
      <x:c r="G107" s="26" t="n">
        <x:v>0</x:v>
      </x:c>
      <x:c r="H107" s="26" t="n">
        <x:v>7</x:v>
      </x:c>
      <x:c r="I107" s="17" t="str">
        <x:v>N</x:v>
      </x:c>
      <x:c r="J107" s="20" t="n">
        <x:v>45731.60902777778</x:v>
      </x:c>
    </x:row>
    <x:row r="108">
      <x:c r="A108" s="17" t="str">
        <x:v>APP2025000104</x:v>
      </x:c>
      <x:c r="B108" s="20" t="n">
        <x:v>45838.649305555555</x:v>
      </x:c>
      <x:c r="C108" s="26" t="n">
        <x:v>699</x:v>
      </x:c>
      <x:c r="D108" s="29" t="n">
        <x:v>0.341</x:v>
      </x:c>
      <x:c r="E108" s="26" t="n">
        <x:v>5</x:v>
      </x:c>
      <x:c r="F108" s="26" t="n">
        <x:v>0</x:v>
      </x:c>
      <x:c r="G108" s="26" t="n">
        <x:v>0</x:v>
      </x:c>
      <x:c r="H108" s="26" t="n">
        <x:v>5</x:v>
      </x:c>
      <x:c r="I108" s="17" t="str">
        <x:v>N</x:v>
      </x:c>
      <x:c r="J108" s="20" t="n">
        <x:v>45838.65069444444</x:v>
      </x:c>
    </x:row>
    <x:row r="109">
      <x:c r="A109" s="17" t="str">
        <x:v>APP2025000105</x:v>
      </x:c>
      <x:c r="B109" s="20" t="n">
        <x:v>45683.35763888889</x:v>
      </x:c>
      <x:c r="C109" s="26" t="n">
        <x:v>700</x:v>
      </x:c>
      <x:c r="D109" s="29" t="n">
        <x:v>0.205</x:v>
      </x:c>
      <x:c r="E109" s="26" t="n">
        <x:v>1</x:v>
      </x:c>
      <x:c r="F109" s="26" t="n">
        <x:v>0</x:v>
      </x:c>
      <x:c r="G109" s="26" t="n">
        <x:v>0</x:v>
      </x:c>
      <x:c r="H109" s="26" t="n">
        <x:v>8</x:v>
      </x:c>
      <x:c r="I109" s="17" t="str">
        <x:v>N</x:v>
      </x:c>
      <x:c r="J109" s="20" t="n">
        <x:v>45683.35902777778</x:v>
      </x:c>
    </x:row>
    <x:row r="110">
      <x:c r="A110" s="17" t="str">
        <x:v>APP2025000106</x:v>
      </x:c>
      <x:c r="B110" s="20" t="n">
        <x:v>45759.65416666667</x:v>
      </x:c>
      <x:c r="C110" s="26" t="n">
        <x:v>595</x:v>
      </x:c>
      <x:c r="D110" s="29" t="n">
        <x:v>0.843</x:v>
      </x:c>
      <x:c r="E110" s="26" t="n">
        <x:v>4</x:v>
      </x:c>
      <x:c r="F110" s="26" t="n">
        <x:v>2</x:v>
      </x:c>
      <x:c r="G110" s="26" t="n">
        <x:v>83</x:v>
      </x:c>
      <x:c r="H110" s="26" t="n">
        <x:v>4</x:v>
      </x:c>
      <x:c r="I110" s="17" t="str">
        <x:v>N</x:v>
      </x:c>
      <x:c r="J110" s="20" t="n">
        <x:v>45759.65555555555</x:v>
      </x:c>
    </x:row>
    <x:row r="111">
      <x:c r="A111" s="17" t="str">
        <x:v>APP2025000107</x:v>
      </x:c>
      <x:c r="B111" s="20" t="n">
        <x:v>45783.35625</x:v>
      </x:c>
      <x:c r="C111" s="26" t="n">
        <x:v>665</x:v>
      </x:c>
      <x:c r="D111" s="29" t="n">
        <x:v>0.565</x:v>
      </x:c>
      <x:c r="E111" s="26" t="n">
        <x:v>1</x:v>
      </x:c>
      <x:c r="F111" s="26" t="n">
        <x:v>0</x:v>
      </x:c>
      <x:c r="G111" s="26" t="n">
        <x:v>0</x:v>
      </x:c>
      <x:c r="H111" s="26" t="n">
        <x:v>7</x:v>
      </x:c>
      <x:c r="I111" s="17" t="str">
        <x:v>N</x:v>
      </x:c>
      <x:c r="J111" s="20" t="n">
        <x:v>45783.35763888889</x:v>
      </x:c>
    </x:row>
    <x:row r="112">
      <x:c r="A112" s="17" t="str">
        <x:v>APP2025000108</x:v>
      </x:c>
      <x:c r="B112" s="20" t="n">
        <x:v>45741.40625</x:v>
      </x:c>
      <x:c r="C112" s="26" t="n">
        <x:v>645</x:v>
      </x:c>
      <x:c r="D112" s="29" t="n">
        <x:v>0.268</x:v>
      </x:c>
      <x:c r="E112" s="26" t="n">
        <x:v>2</x:v>
      </x:c>
      <x:c r="F112" s="26" t="n">
        <x:v>0</x:v>
      </x:c>
      <x:c r="G112" s="26" t="n">
        <x:v>0</x:v>
      </x:c>
      <x:c r="H112" s="26" t="n">
        <x:v>0</x:v>
      </x:c>
      <x:c r="I112" s="17" t="str">
        <x:v>N</x:v>
      </x:c>
      <x:c r="J112" s="20" t="n">
        <x:v>45741.407638888886</x:v>
      </x:c>
    </x:row>
    <x:row r="113">
      <x:c r="A113" s="17" t="str">
        <x:v>APP2025000109</x:v>
      </x:c>
      <x:c r="B113" s="20" t="n">
        <x:v>45738.6375</x:v>
      </x:c>
      <x:c r="C113" s="26" t="n">
        <x:v>630</x:v>
      </x:c>
      <x:c r="D113" s="29" t="n">
        <x:v>0.545</x:v>
      </x:c>
      <x:c r="E113" s="26" t="n">
        <x:v>1</x:v>
      </x:c>
      <x:c r="F113" s="26" t="n">
        <x:v>0</x:v>
      </x:c>
      <x:c r="G113" s="26" t="n">
        <x:v>0</x:v>
      </x:c>
      <x:c r="H113" s="26" t="n">
        <x:v>4</x:v>
      </x:c>
      <x:c r="I113" s="17" t="str">
        <x:v>N</x:v>
      </x:c>
      <x:c r="J113" s="20" t="n">
        <x:v>45738.63888888889</x:v>
      </x:c>
    </x:row>
    <x:row r="114">
      <x:c r="A114" s="17" t="str">
        <x:v>APP2025000110</x:v>
      </x:c>
      <x:c r="B114" s="20" t="n">
        <x:v>45679.73541666667</x:v>
      </x:c>
      <x:c r="C114" s="26" t="n">
        <x:v>644</x:v>
      </x:c>
      <x:c r="D114" s="29" t="n">
        <x:v>0.275</x:v>
      </x:c>
      <x:c r="E114" s="26" t="n">
        <x:v>5</x:v>
      </x:c>
      <x:c r="F114" s="26" t="n">
        <x:v>0</x:v>
      </x:c>
      <x:c r="G114" s="26" t="n">
        <x:v>0</x:v>
      </x:c>
      <x:c r="H114" s="26" t="n">
        <x:v>3</x:v>
      </x:c>
      <x:c r="I114" s="17" t="str">
        <x:v>N</x:v>
      </x:c>
      <x:c r="J114" s="20" t="n">
        <x:v>45679.736805555556</x:v>
      </x:c>
    </x:row>
    <x:row r="115">
      <x:c r="A115" s="17" t="str">
        <x:v>APP2025000111</x:v>
      </x:c>
      <x:c r="B115" s="20" t="n">
        <x:v>45747.32361111111</x:v>
      </x:c>
      <x:c r="C115" s="26" t="n">
        <x:v>673</x:v>
      </x:c>
      <x:c r="D115" s="29" t="n">
        <x:v>0.683</x:v>
      </x:c>
      <x:c r="E115" s="26" t="n">
        <x:v>1</x:v>
      </x:c>
      <x:c r="F115" s="26" t="n">
        <x:v>0</x:v>
      </x:c>
      <x:c r="G115" s="26" t="n">
        <x:v>0</x:v>
      </x:c>
      <x:c r="H115" s="26" t="n">
        <x:v>11</x:v>
      </x:c>
      <x:c r="I115" s="17" t="str">
        <x:v>N</x:v>
      </x:c>
      <x:c r="J115" s="20" t="n">
        <x:v>45747.325</x:v>
      </x:c>
    </x:row>
    <x:row r="116">
      <x:c r="A116" s="17" t="str">
        <x:v>APP2025000112</x:v>
      </x:c>
      <x:c r="B116" s="20" t="n">
        <x:v>45684.42152777778</x:v>
      </x:c>
      <x:c r="C116" s="26" t="n">
        <x:v>546</x:v>
      </x:c>
      <x:c r="D116" s="29" t="n">
        <x:v>0.509</x:v>
      </x:c>
      <x:c r="E116" s="26" t="n">
        <x:v>2</x:v>
      </x:c>
      <x:c r="F116" s="26" t="n">
        <x:v>2</x:v>
      </x:c>
      <x:c r="G116" s="26" t="n">
        <x:v>30</x:v>
      </x:c>
      <x:c r="H116" s="26" t="n">
        <x:v>0</x:v>
      </x:c>
      <x:c r="I116" s="17" t="str">
        <x:v>N</x:v>
      </x:c>
      <x:c r="J116" s="20" t="n">
        <x:v>45684.42291666667</x:v>
      </x:c>
    </x:row>
    <x:row r="117">
      <x:c r="A117" s="17" t="str">
        <x:v>APP2025000113</x:v>
      </x:c>
      <x:c r="B117" s="20" t="n">
        <x:v>45669.646527777775</x:v>
      </x:c>
      <x:c r="C117" s="26" t="n">
        <x:v>645</x:v>
      </x:c>
      <x:c r="D117" s="29" t="n">
        <x:v>0.98</x:v>
      </x:c>
      <x:c r="E117" s="26" t="n">
        <x:v>5</x:v>
      </x:c>
      <x:c r="F117" s="26" t="n">
        <x:v>1</x:v>
      </x:c>
      <x:c r="G117" s="26" t="n">
        <x:v>46</x:v>
      </x:c>
      <x:c r="H117" s="26" t="n">
        <x:v>9</x:v>
      </x:c>
      <x:c r="I117" s="17" t="str">
        <x:v>N</x:v>
      </x:c>
      <x:c r="J117" s="20" t="n">
        <x:v>45669.64791666667</x:v>
      </x:c>
    </x:row>
    <x:row r="118">
      <x:c r="A118" s="17" t="str">
        <x:v>APP2025000114</x:v>
      </x:c>
      <x:c r="B118" s="20" t="n">
        <x:v>45775.31597222222</x:v>
      </x:c>
      <x:c r="C118" s="26" t="n">
        <x:v>657</x:v>
      </x:c>
      <x:c r="D118" s="29" t="n">
        <x:v>0.789</x:v>
      </x:c>
      <x:c r="E118" s="26" t="n">
        <x:v>4</x:v>
      </x:c>
      <x:c r="F118" s="26" t="n">
        <x:v>1</x:v>
      </x:c>
      <x:c r="G118" s="26" t="n">
        <x:v>35</x:v>
      </x:c>
      <x:c r="H118" s="26" t="n">
        <x:v>8</x:v>
      </x:c>
      <x:c r="I118" s="17" t="str">
        <x:v>N</x:v>
      </x:c>
      <x:c r="J118" s="20" t="n">
        <x:v>45775.31736111111</x:v>
      </x:c>
    </x:row>
    <x:row r="119">
      <x:c r="A119" s="17" t="str">
        <x:v>APP2025000115</x:v>
      </x:c>
      <x:c r="B119" s="20" t="n">
        <x:v>45749.365277777775</x:v>
      </x:c>
      <x:c r="C119" s="26" t="n">
        <x:v>660</x:v>
      </x:c>
      <x:c r="D119" s="29" t="n">
        <x:v>0.295</x:v>
      </x:c>
      <x:c r="E119" s="26" t="n">
        <x:v>2</x:v>
      </x:c>
      <x:c r="F119" s="26" t="n">
        <x:v>0</x:v>
      </x:c>
      <x:c r="G119" s="26" t="n">
        <x:v>0</x:v>
      </x:c>
      <x:c r="H119" s="26" t="n">
        <x:v>0</x:v>
      </x:c>
      <x:c r="I119" s="17" t="str">
        <x:v>N</x:v>
      </x:c>
      <x:c r="J119" s="20" t="n">
        <x:v>45749.36666666667</x:v>
      </x:c>
    </x:row>
    <x:row r="120">
      <x:c r="A120" s="17" t="str">
        <x:v>APP2025000116</x:v>
      </x:c>
      <x:c r="B120" s="20" t="n">
        <x:v>45765.42847222222</x:v>
      </x:c>
      <x:c r="C120" s="26" t="n">
        <x:v>611</x:v>
      </x:c>
      <x:c r="D120" s="29" t="n">
        <x:v>0.827</x:v>
      </x:c>
      <x:c r="E120" s="26" t="n">
        <x:v>1</x:v>
      </x:c>
      <x:c r="F120" s="26" t="n">
        <x:v>0</x:v>
      </x:c>
      <x:c r="G120" s="26" t="n">
        <x:v>0</x:v>
      </x:c>
      <x:c r="H120" s="26" t="n">
        <x:v>6</x:v>
      </x:c>
      <x:c r="I120" s="17" t="str">
        <x:v>N</x:v>
      </x:c>
      <x:c r="J120" s="20" t="n">
        <x:v>45765.42986111111</x:v>
      </x:c>
    </x:row>
    <x:row r="121">
      <x:c r="A121" s="17" t="str">
        <x:v>APP2025000117</x:v>
      </x:c>
      <x:c r="B121" s="20" t="n">
        <x:v>45717.73819444444</x:v>
      </x:c>
      <x:c r="C121" s="26" t="n">
        <x:v>656</x:v>
      </x:c>
      <x:c r="D121" s="29" t="n">
        <x:v>0.505</x:v>
      </x:c>
      <x:c r="E121" s="26" t="n">
        <x:v>5</x:v>
      </x:c>
      <x:c r="F121" s="26" t="n">
        <x:v>0</x:v>
      </x:c>
      <x:c r="G121" s="26" t="n">
        <x:v>0</x:v>
      </x:c>
      <x:c r="H121" s="26" t="n">
        <x:v>7</x:v>
      </x:c>
      <x:c r="I121" s="17" t="str">
        <x:v>N</x:v>
      </x:c>
      <x:c r="J121" s="20" t="n">
        <x:v>45717.739583333336</x:v>
      </x:c>
    </x:row>
    <x:row r="122">
      <x:c r="A122" s="17" t="str">
        <x:v>APP2025000118</x:v>
      </x:c>
      <x:c r="B122" s="20" t="n">
        <x:v>45829.33819444444</x:v>
      </x:c>
      <x:c r="C122" s="26" t="n">
        <x:v>675</x:v>
      </x:c>
      <x:c r="D122" s="29" t="n">
        <x:v>0.554</x:v>
      </x:c>
      <x:c r="E122" s="26" t="n">
        <x:v>1</x:v>
      </x:c>
      <x:c r="F122" s="26" t="n">
        <x:v>0</x:v>
      </x:c>
      <x:c r="G122" s="26" t="n">
        <x:v>0</x:v>
      </x:c>
      <x:c r="H122" s="26" t="n">
        <x:v>11</x:v>
      </x:c>
      <x:c r="I122" s="17" t="str">
        <x:v>N</x:v>
      </x:c>
      <x:c r="J122" s="20" t="n">
        <x:v>45829.339583333334</x:v>
      </x:c>
    </x:row>
    <x:row r="123">
      <x:c r="A123" s="17" t="str">
        <x:v>APP2025000119</x:v>
      </x:c>
      <x:c r="B123" s="20" t="n">
        <x:v>45778.31319444445</x:v>
      </x:c>
      <x:c r="C123" s="26" t="n">
        <x:v>571</x:v>
      </x:c>
      <x:c r="D123" s="29" t="n">
        <x:v>0.573</x:v>
      </x:c>
      <x:c r="E123" s="26" t="n">
        <x:v>0</x:v>
      </x:c>
      <x:c r="F123" s="26" t="n">
        <x:v>2</x:v>
      </x:c>
      <x:c r="G123" s="26" t="n">
        <x:v>74</x:v>
      </x:c>
      <x:c r="H123" s="26" t="n">
        <x:v>10</x:v>
      </x:c>
      <x:c r="I123" s="17" t="str">
        <x:v>N</x:v>
      </x:c>
      <x:c r="J123" s="20" t="n">
        <x:v>45778.31458333333</x:v>
      </x:c>
    </x:row>
    <x:row r="124">
      <x:c r="A124" s="17" t="str">
        <x:v>APP2025000120</x:v>
      </x:c>
      <x:c r="B124" s="20" t="n">
        <x:v>45679.5375</x:v>
      </x:c>
      <x:c r="C124" s="26" t="n">
        <x:v>652</x:v>
      </x:c>
      <x:c r="D124" s="29" t="n">
        <x:v>0.335</x:v>
      </x:c>
      <x:c r="E124" s="26" t="n">
        <x:v>4</x:v>
      </x:c>
      <x:c r="F124" s="26" t="n">
        <x:v>0</x:v>
      </x:c>
      <x:c r="G124" s="26" t="n">
        <x:v>0</x:v>
      </x:c>
      <x:c r="H124" s="26" t="n">
        <x:v>4</x:v>
      </x:c>
      <x:c r="I124" s="17" t="str">
        <x:v>N</x:v>
      </x:c>
      <x:c r="J124" s="20" t="n">
        <x:v>45679.53888888889</x:v>
      </x:c>
    </x:row>
    <x:row r="125">
      <x:c r="A125" s="17" t="str">
        <x:v>APP2025000121</x:v>
      </x:c>
      <x:c r="B125" s="20" t="n">
        <x:v>45784.674305555556</x:v>
      </x:c>
      <x:c r="C125" s="26" t="n">
        <x:v>704</x:v>
      </x:c>
      <x:c r="D125" s="29" t="n">
        <x:v>0.378</x:v>
      </x:c>
      <x:c r="E125" s="26" t="n">
        <x:v>3</x:v>
      </x:c>
      <x:c r="F125" s="26" t="n">
        <x:v>0</x:v>
      </x:c>
      <x:c r="G125" s="26" t="n">
        <x:v>0</x:v>
      </x:c>
      <x:c r="H125" s="26" t="n">
        <x:v>4</x:v>
      </x:c>
      <x:c r="I125" s="17" t="str">
        <x:v>N</x:v>
      </x:c>
      <x:c r="J125" s="20" t="n">
        <x:v>45784.67569444444</x:v>
      </x:c>
    </x:row>
    <x:row r="126">
      <x:c r="A126" s="17" t="str">
        <x:v>APP2025000122</x:v>
      </x:c>
      <x:c r="B126" s="20" t="n">
        <x:v>45701.40555555555</x:v>
      </x:c>
      <x:c r="C126" s="26" t="n">
        <x:v>596</x:v>
      </x:c>
      <x:c r="D126" s="29" t="n">
        <x:v>0.528</x:v>
      </x:c>
      <x:c r="E126" s="26" t="n">
        <x:v>1</x:v>
      </x:c>
      <x:c r="F126" s="26" t="n">
        <x:v>1</x:v>
      </x:c>
      <x:c r="G126" s="26" t="n">
        <x:v>79</x:v>
      </x:c>
      <x:c r="H126" s="26" t="n">
        <x:v>8</x:v>
      </x:c>
      <x:c r="I126" s="17" t="str">
        <x:v>N</x:v>
      </x:c>
      <x:c r="J126" s="20" t="n">
        <x:v>45701.40694444445</x:v>
      </x:c>
    </x:row>
    <x:row r="127">
      <x:c r="A127" s="17" t="str">
        <x:v>APP2025000123</x:v>
      </x:c>
      <x:c r="B127" s="20" t="n">
        <x:v>45829.645833333336</x:v>
      </x:c>
      <x:c r="C127" s="26" t="n">
        <x:v>670</x:v>
      </x:c>
      <x:c r="D127" s="29" t="n">
        <x:v>0.282</x:v>
      </x:c>
      <x:c r="E127" s="26" t="n">
        <x:v>2</x:v>
      </x:c>
      <x:c r="F127" s="26" t="n">
        <x:v>0</x:v>
      </x:c>
      <x:c r="G127" s="26" t="n">
        <x:v>0</x:v>
      </x:c>
      <x:c r="H127" s="26" t="n">
        <x:v>10</x:v>
      </x:c>
      <x:c r="I127" s="17" t="str">
        <x:v>N</x:v>
      </x:c>
      <x:c r="J127" s="20" t="n">
        <x:v>45829.64722222222</x:v>
      </x:c>
    </x:row>
    <x:row r="128">
      <x:c r="A128" s="17" t="str">
        <x:v>APP2025000124</x:v>
      </x:c>
      <x:c r="B128" s="20" t="n">
        <x:v>45765.50486111111</x:v>
      </x:c>
      <x:c r="C128" s="26" t="n">
        <x:v>597</x:v>
      </x:c>
      <x:c r="D128" s="29" t="n">
        <x:v>0.994</x:v>
      </x:c>
      <x:c r="E128" s="26" t="n">
        <x:v>0</x:v>
      </x:c>
      <x:c r="F128" s="26" t="n">
        <x:v>0</x:v>
      </x:c>
      <x:c r="G128" s="26" t="n">
        <x:v>0</x:v>
      </x:c>
      <x:c r="H128" s="26" t="n">
        <x:v>7</x:v>
      </x:c>
      <x:c r="I128" s="17" t="str">
        <x:v>N</x:v>
      </x:c>
      <x:c r="J128" s="20" t="n">
        <x:v>45765.50625</x:v>
      </x:c>
    </x:row>
    <x:row r="129">
      <x:c r="A129" s="17" t="str">
        <x:v>APP2025000125</x:v>
      </x:c>
      <x:c r="B129" s="20" t="n">
        <x:v>45816.354166666664</x:v>
      </x:c>
      <x:c r="C129" s="26" t="n">
        <x:v>511</x:v>
      </x:c>
      <x:c r="D129" s="29" t="n">
        <x:v>0.41</x:v>
      </x:c>
      <x:c r="E129" s="26" t="n">
        <x:v>0</x:v>
      </x:c>
      <x:c r="F129" s="26" t="n">
        <x:v>5</x:v>
      </x:c>
      <x:c r="G129" s="26" t="n">
        <x:v>134</x:v>
      </x:c>
      <x:c r="H129" s="26" t="n">
        <x:v>10</x:v>
      </x:c>
      <x:c r="I129" s="17" t="str">
        <x:v>N</x:v>
      </x:c>
      <x:c r="J129" s="20" t="n">
        <x:v>45816.35555555556</x:v>
      </x:c>
    </x:row>
    <x:row r="130">
      <x:c r="A130" s="17" t="str">
        <x:v>APP2025000126</x:v>
      </x:c>
      <x:c r="B130" s="20" t="n">
        <x:v>45702.654861111114</x:v>
      </x:c>
      <x:c r="C130" s="26" t="n">
        <x:v>628</x:v>
      </x:c>
      <x:c r="D130" s="29" t="n">
        <x:v>0.185</x:v>
      </x:c>
      <x:c r="E130" s="26" t="n">
        <x:v>4</x:v>
      </x:c>
      <x:c r="F130" s="26" t="n">
        <x:v>1</x:v>
      </x:c>
      <x:c r="G130" s="26" t="n">
        <x:v>54</x:v>
      </x:c>
      <x:c r="H130" s="26" t="n">
        <x:v>3</x:v>
      </x:c>
      <x:c r="I130" s="17" t="str">
        <x:v>N</x:v>
      </x:c>
      <x:c r="J130" s="20" t="n">
        <x:v>45702.65625</x:v>
      </x:c>
    </x:row>
    <x:row r="131">
      <x:c r="A131" s="17" t="str">
        <x:v>APP2025000127</x:v>
      </x:c>
      <x:c r="B131" s="20" t="n">
        <x:v>45828.57916666667</x:v>
      </x:c>
      <x:c r="C131" s="26" t="n">
        <x:v>670</x:v>
      </x:c>
      <x:c r="D131" s="29" t="n">
        <x:v>0.481</x:v>
      </x:c>
      <x:c r="E131" s="26" t="n">
        <x:v>2</x:v>
      </x:c>
      <x:c r="F131" s="26" t="n">
        <x:v>0</x:v>
      </x:c>
      <x:c r="G131" s="26" t="n">
        <x:v>0</x:v>
      </x:c>
      <x:c r="H131" s="26" t="n">
        <x:v>11</x:v>
      </x:c>
      <x:c r="I131" s="17" t="str">
        <x:v>N</x:v>
      </x:c>
      <x:c r="J131" s="20" t="n">
        <x:v>45828.580555555556</x:v>
      </x:c>
    </x:row>
    <x:row r="132">
      <x:c r="A132" s="17" t="str">
        <x:v>APP2025000128</x:v>
      </x:c>
      <x:c r="B132" s="20" t="n">
        <x:v>45679.65347222222</x:v>
      </x:c>
      <x:c r="C132" s="26" t="n">
        <x:v>560</x:v>
      </x:c>
      <x:c r="D132" s="29" t="n">
        <x:v>0.847</x:v>
      </x:c>
      <x:c r="E132" s="26" t="n">
        <x:v>1</x:v>
      </x:c>
      <x:c r="F132" s="26" t="n">
        <x:v>2</x:v>
      </x:c>
      <x:c r="G132" s="26" t="n">
        <x:v>34</x:v>
      </x:c>
      <x:c r="H132" s="26" t="n">
        <x:v>5</x:v>
      </x:c>
      <x:c r="I132" s="17" t="str">
        <x:v>N</x:v>
      </x:c>
      <x:c r="J132" s="20" t="n">
        <x:v>45679.654861111114</x:v>
      </x:c>
    </x:row>
    <x:row r="133">
      <x:c r="A133" s="17" t="str">
        <x:v>APP2025000129</x:v>
      </x:c>
      <x:c r="B133" s="20" t="n">
        <x:v>45793.61041666667</x:v>
      </x:c>
      <x:c r="C133" s="26" t="n">
        <x:v>674</x:v>
      </x:c>
      <x:c r="D133" s="29" t="n">
        <x:v>0.792</x:v>
      </x:c>
      <x:c r="E133" s="26" t="n">
        <x:v>5</x:v>
      </x:c>
      <x:c r="F133" s="26" t="n">
        <x:v>0</x:v>
      </x:c>
      <x:c r="G133" s="26" t="n">
        <x:v>0</x:v>
      </x:c>
      <x:c r="H133" s="26" t="n">
        <x:v>11</x:v>
      </x:c>
      <x:c r="I133" s="17" t="str">
        <x:v>N</x:v>
      </x:c>
      <x:c r="J133" s="20" t="n">
        <x:v>45793.611805555556</x:v>
      </x:c>
    </x:row>
    <x:row r="134">
      <x:c r="A134" s="17" t="str">
        <x:v>APP2025000130</x:v>
      </x:c>
      <x:c r="B134" s="20" t="n">
        <x:v>45706.62569444445</x:v>
      </x:c>
      <x:c r="C134" s="26" t="n">
        <x:v>572</x:v>
      </x:c>
      <x:c r="D134" s="29" t="n">
        <x:v>0.546</x:v>
      </x:c>
      <x:c r="E134" s="26" t="n">
        <x:v>4</x:v>
      </x:c>
      <x:c r="F134" s="26" t="n">
        <x:v>1</x:v>
      </x:c>
      <x:c r="G134" s="26" t="n">
        <x:v>15</x:v>
      </x:c>
      <x:c r="H134" s="26" t="n">
        <x:v>7</x:v>
      </x:c>
      <x:c r="I134" s="17" t="str">
        <x:v>N</x:v>
      </x:c>
      <x:c r="J134" s="20" t="n">
        <x:v>45706.62708333333</x:v>
      </x:c>
    </x:row>
    <x:row r="135">
      <x:c r="A135" s="17" t="str">
        <x:v>APP2025000131</x:v>
      </x:c>
      <x:c r="B135" s="20" t="n">
        <x:v>45674.35763888889</x:v>
      </x:c>
      <x:c r="C135" s="26" t="n">
        <x:v>585</x:v>
      </x:c>
      <x:c r="D135" s="29" t="n">
        <x:v>0.415</x:v>
      </x:c>
      <x:c r="E135" s="26" t="n">
        <x:v>0</x:v>
      </x:c>
      <x:c r="F135" s="26" t="n">
        <x:v>1</x:v>
      </x:c>
      <x:c r="G135" s="26" t="n">
        <x:v>48</x:v>
      </x:c>
      <x:c r="H135" s="26" t="n">
        <x:v>6</x:v>
      </x:c>
      <x:c r="I135" s="17" t="str">
        <x:v>N</x:v>
      </x:c>
      <x:c r="J135" s="20" t="n">
        <x:v>45674.35902777778</x:v>
      </x:c>
    </x:row>
    <x:row r="136">
      <x:c r="A136" s="17" t="str">
        <x:v>APP2025000132</x:v>
      </x:c>
      <x:c r="B136" s="20" t="n">
        <x:v>45769.66180555556</x:v>
      </x:c>
      <x:c r="C136" s="26" t="n">
        <x:v>638</x:v>
      </x:c>
      <x:c r="D136" s="29"/>
      <x:c r="E136" s="26" t="n">
        <x:v>2</x:v>
      </x:c>
      <x:c r="F136" s="26" t="n">
        <x:v>0</x:v>
      </x:c>
      <x:c r="G136" s="26" t="n">
        <x:v>0</x:v>
      </x:c>
      <x:c r="H136" s="26" t="n">
        <x:v>9</x:v>
      </x:c>
      <x:c r="I136" s="17" t="str">
        <x:v>N</x:v>
      </x:c>
      <x:c r="J136" s="20" t="n">
        <x:v>45769.663194444445</x:v>
      </x:c>
    </x:row>
    <x:row r="137">
      <x:c r="A137" s="17" t="str">
        <x:v>APP2025000133</x:v>
      </x:c>
      <x:c r="B137" s="20" t="n">
        <x:v>45672.375</x:v>
      </x:c>
      <x:c r="C137" s="26" t="n">
        <x:v>674</x:v>
      </x:c>
      <x:c r="D137" s="29"/>
      <x:c r="E137" s="26" t="n">
        <x:v>5</x:v>
      </x:c>
      <x:c r="F137" s="26" t="n">
        <x:v>0</x:v>
      </x:c>
      <x:c r="G137" s="26" t="n">
        <x:v>0</x:v>
      </x:c>
      <x:c r="H137" s="26" t="n">
        <x:v>11</x:v>
      </x:c>
      <x:c r="I137" s="17" t="str">
        <x:v>N</x:v>
      </x:c>
      <x:c r="J137" s="20" t="n">
        <x:v>45672.376388888886</x:v>
      </x:c>
    </x:row>
    <x:row r="138">
      <x:c r="A138" s="17" t="str">
        <x:v>APP2025000134</x:v>
      </x:c>
      <x:c r="B138" s="20" t="n">
        <x:v>45681.66736111111</x:v>
      </x:c>
      <x:c r="C138" s="26" t="n">
        <x:v>649</x:v>
      </x:c>
      <x:c r="D138" s="29" t="n">
        <x:v>0.737</x:v>
      </x:c>
      <x:c r="E138" s="26" t="n">
        <x:v>5</x:v>
      </x:c>
      <x:c r="F138" s="26" t="n">
        <x:v>0</x:v>
      </x:c>
      <x:c r="G138" s="26" t="n">
        <x:v>0</x:v>
      </x:c>
      <x:c r="H138" s="26" t="n">
        <x:v>9</x:v>
      </x:c>
      <x:c r="I138" s="17" t="str">
        <x:v>N</x:v>
      </x:c>
      <x:c r="J138" s="20" t="n">
        <x:v>45681.66875</x:v>
      </x:c>
    </x:row>
    <x:row r="139">
      <x:c r="A139" s="17" t="str">
        <x:v>APP2025000135</x:v>
      </x:c>
      <x:c r="B139" s="20" t="n">
        <x:v>45695.600694444445</x:v>
      </x:c>
      <x:c r="C139" s="26" t="n">
        <x:v>584</x:v>
      </x:c>
      <x:c r="D139" s="29" t="n">
        <x:v>0.871</x:v>
      </x:c>
      <x:c r="E139" s="26" t="n">
        <x:v>0</x:v>
      </x:c>
      <x:c r="F139" s="26" t="n">
        <x:v>1</x:v>
      </x:c>
      <x:c r="G139" s="26" t="n">
        <x:v>33</x:v>
      </x:c>
      <x:c r="H139" s="26" t="n">
        <x:v>1</x:v>
      </x:c>
      <x:c r="I139" s="17" t="str">
        <x:v>N</x:v>
      </x:c>
      <x:c r="J139" s="20" t="n">
        <x:v>45695.60208333333</x:v>
      </x:c>
    </x:row>
    <x:row r="140">
      <x:c r="A140" s="17" t="str">
        <x:v>APP2025000136</x:v>
      </x:c>
      <x:c r="B140" s="20" t="n">
        <x:v>45787.30625</x:v>
      </x:c>
      <x:c r="C140" s="26" t="n">
        <x:v>702</x:v>
      </x:c>
      <x:c r="D140" s="29" t="n">
        <x:v>0.199</x:v>
      </x:c>
      <x:c r="E140" s="26" t="n">
        <x:v>3</x:v>
      </x:c>
      <x:c r="F140" s="26" t="n">
        <x:v>0</x:v>
      </x:c>
      <x:c r="G140" s="26" t="n">
        <x:v>0</x:v>
      </x:c>
      <x:c r="H140" s="26" t="n">
        <x:v>7</x:v>
      </x:c>
      <x:c r="I140" s="17" t="str">
        <x:v>N</x:v>
      </x:c>
      <x:c r="J140" s="20" t="n">
        <x:v>45787.30763888889</x:v>
      </x:c>
    </x:row>
    <x:row r="141">
      <x:c r="A141" s="17" t="str">
        <x:v>APP2025000137</x:v>
      </x:c>
      <x:c r="B141" s="20" t="n">
        <x:v>45750.385416666664</x:v>
      </x:c>
      <x:c r="C141" s="26" t="n">
        <x:v>625</x:v>
      </x:c>
      <x:c r="D141" s="29" t="n">
        <x:v>0.974</x:v>
      </x:c>
      <x:c r="E141" s="26" t="n">
        <x:v>3</x:v>
      </x:c>
      <x:c r="F141" s="26" t="n">
        <x:v>0</x:v>
      </x:c>
      <x:c r="G141" s="26" t="n">
        <x:v>0</x:v>
      </x:c>
      <x:c r="H141" s="26" t="n">
        <x:v>8</x:v>
      </x:c>
      <x:c r="I141" s="17" t="str">
        <x:v>N</x:v>
      </x:c>
      <x:c r="J141" s="20" t="n">
        <x:v>45750.38680555556</x:v>
      </x:c>
    </x:row>
    <x:row r="142">
      <x:c r="A142" s="17" t="str">
        <x:v>APP2025000138</x:v>
      </x:c>
      <x:c r="B142" s="20" t="n">
        <x:v>45742.53333333333</x:v>
      </x:c>
      <x:c r="C142" s="26" t="n">
        <x:v>672</x:v>
      </x:c>
      <x:c r="D142" s="29" t="n">
        <x:v>0.756</x:v>
      </x:c>
      <x:c r="E142" s="26" t="n">
        <x:v>1</x:v>
      </x:c>
      <x:c r="F142" s="26" t="n">
        <x:v>0</x:v>
      </x:c>
      <x:c r="G142" s="26" t="n">
        <x:v>0</x:v>
      </x:c>
      <x:c r="H142" s="26" t="n">
        <x:v>9</x:v>
      </x:c>
      <x:c r="I142" s="17" t="str">
        <x:v>N</x:v>
      </x:c>
      <x:c r="J142" s="20" t="n">
        <x:v>45742.53472222222</x:v>
      </x:c>
    </x:row>
    <x:row r="143">
      <x:c r="A143" s="17" t="str">
        <x:v>APP2025000139</x:v>
      </x:c>
      <x:c r="B143" s="20" t="n">
        <x:v>45821.39513888889</x:v>
      </x:c>
      <x:c r="C143" s="26" t="n">
        <x:v>441</x:v>
      </x:c>
      <x:c r="D143" s="29" t="n">
        <x:v>0.748</x:v>
      </x:c>
      <x:c r="E143" s="26" t="n">
        <x:v>4</x:v>
      </x:c>
      <x:c r="F143" s="26" t="n">
        <x:v>5</x:v>
      </x:c>
      <x:c r="G143" s="26" t="n">
        <x:v>62</x:v>
      </x:c>
      <x:c r="H143" s="26" t="n">
        <x:v>8</x:v>
      </x:c>
      <x:c r="I143" s="17" t="str">
        <x:v>Y</x:v>
      </x:c>
      <x:c r="J143" s="20" t="n">
        <x:v>45821.396527777775</x:v>
      </x:c>
    </x:row>
    <x:row r="144">
      <x:c r="A144" s="17" t="str">
        <x:v>APP2025000140</x:v>
      </x:c>
      <x:c r="B144" s="20" t="n">
        <x:v>45785.66111111111</x:v>
      </x:c>
      <x:c r="C144" s="26" t="n">
        <x:v>729</x:v>
      </x:c>
      <x:c r="D144" s="29" t="n">
        <x:v>0.273</x:v>
      </x:c>
      <x:c r="E144" s="26" t="n">
        <x:v>4</x:v>
      </x:c>
      <x:c r="F144" s="26" t="n">
        <x:v>0</x:v>
      </x:c>
      <x:c r="G144" s="26" t="n">
        <x:v>0</x:v>
      </x:c>
      <x:c r="H144" s="26" t="n">
        <x:v>8</x:v>
      </x:c>
      <x:c r="I144" s="17" t="str">
        <x:v>N</x:v>
      </x:c>
      <x:c r="J144" s="20" t="n">
        <x:v>45785.6625</x:v>
      </x:c>
    </x:row>
    <x:row r="145">
      <x:c r="A145" s="17" t="str">
        <x:v>APP2025000141</x:v>
      </x:c>
      <x:c r="B145" s="20" t="n">
        <x:v>45677.43194444444</x:v>
      </x:c>
      <x:c r="C145" s="26" t="n">
        <x:v>625</x:v>
      </x:c>
      <x:c r="D145" s="29" t="n">
        <x:v>0.534</x:v>
      </x:c>
      <x:c r="E145" s="26" t="n">
        <x:v>0</x:v>
      </x:c>
      <x:c r="F145" s="26" t="n">
        <x:v>2</x:v>
      </x:c>
      <x:c r="G145" s="26" t="n">
        <x:v>70</x:v>
      </x:c>
      <x:c r="H145" s="26" t="n">
        <x:v>1</x:v>
      </x:c>
      <x:c r="I145" s="17" t="str">
        <x:v>N</x:v>
      </x:c>
      <x:c r="J145" s="20" t="n">
        <x:v>45677.433333333334</x:v>
      </x:c>
    </x:row>
    <x:row r="146">
      <x:c r="A146" s="17" t="str">
        <x:v>APP2025000142</x:v>
      </x:c>
      <x:c r="B146" s="20" t="n">
        <x:v>45808.31597222222</x:v>
      </x:c>
      <x:c r="C146" s="26" t="n">
        <x:v>630</x:v>
      </x:c>
      <x:c r="D146" s="29" t="n">
        <x:v>0.338</x:v>
      </x:c>
      <x:c r="E146" s="26" t="n">
        <x:v>5</x:v>
      </x:c>
      <x:c r="F146" s="26" t="n">
        <x:v>0</x:v>
      </x:c>
      <x:c r="G146" s="26" t="n">
        <x:v>0</x:v>
      </x:c>
      <x:c r="H146" s="26" t="n">
        <x:v>5</x:v>
      </x:c>
      <x:c r="I146" s="17" t="str">
        <x:v>N</x:v>
      </x:c>
      <x:c r="J146" s="20" t="n">
        <x:v>45808.31736111111</x:v>
      </x:c>
    </x:row>
    <x:row r="147">
      <x:c r="A147" s="17" t="str">
        <x:v>APP2025000143</x:v>
      </x:c>
      <x:c r="B147" s="20" t="n">
        <x:v>45666.27361111111</x:v>
      </x:c>
      <x:c r="C147" s="26" t="n">
        <x:v>667</x:v>
      </x:c>
      <x:c r="D147" s="29" t="n">
        <x:v>0.469</x:v>
      </x:c>
      <x:c r="E147" s="26" t="n">
        <x:v>4</x:v>
      </x:c>
      <x:c r="F147" s="26" t="n">
        <x:v>0</x:v>
      </x:c>
      <x:c r="G147" s="26" t="n">
        <x:v>0</x:v>
      </x:c>
      <x:c r="H147" s="26" t="n">
        <x:v>3</x:v>
      </x:c>
      <x:c r="I147" s="17" t="str">
        <x:v>N</x:v>
      </x:c>
      <x:c r="J147" s="20" t="n">
        <x:v>45666.275</x:v>
      </x:c>
    </x:row>
    <x:row r="148">
      <x:c r="A148" s="17" t="str">
        <x:v>APP2025000144</x:v>
      </x:c>
      <x:c r="B148" s="20" t="n">
        <x:v>45808.725</x:v>
      </x:c>
      <x:c r="C148" s="26" t="n">
        <x:v>548</x:v>
      </x:c>
      <x:c r="D148" s="29" t="n">
        <x:v>0.453</x:v>
      </x:c>
      <x:c r="E148" s="26" t="n">
        <x:v>2</x:v>
      </x:c>
      <x:c r="F148" s="26" t="n">
        <x:v>4</x:v>
      </x:c>
      <x:c r="G148" s="26" t="n">
        <x:v>18</x:v>
      </x:c>
      <x:c r="H148" s="26" t="n">
        <x:v>2</x:v>
      </x:c>
      <x:c r="I148" s="17" t="str">
        <x:v>N</x:v>
      </x:c>
      <x:c r="J148" s="20" t="n">
        <x:v>45808.72638888889</x:v>
      </x:c>
    </x:row>
    <x:row r="149">
      <x:c r="A149" s="17" t="str">
        <x:v>APP2025000145</x:v>
      </x:c>
      <x:c r="B149" s="20" t="n">
        <x:v>45680.558333333334</x:v>
      </x:c>
      <x:c r="C149" s="26" t="n">
        <x:v>667</x:v>
      </x:c>
      <x:c r="D149" s="29" t="n">
        <x:v>0.267</x:v>
      </x:c>
      <x:c r="E149" s="26" t="n">
        <x:v>1</x:v>
      </x:c>
      <x:c r="F149" s="26" t="n">
        <x:v>0</x:v>
      </x:c>
      <x:c r="G149" s="26" t="n">
        <x:v>0</x:v>
      </x:c>
      <x:c r="H149" s="26" t="n">
        <x:v>10</x:v>
      </x:c>
      <x:c r="I149" s="17" t="str">
        <x:v>N</x:v>
      </x:c>
      <x:c r="J149" s="20" t="n">
        <x:v>45680.55972222222</x:v>
      </x:c>
    </x:row>
    <x:row r="150">
      <x:c r="A150" s="17" t="str">
        <x:v>APP2025000146</x:v>
      </x:c>
      <x:c r="B150" s="20" t="n">
        <x:v>45752.580555555556</x:v>
      </x:c>
      <x:c r="C150" s="26" t="n">
        <x:v>525</x:v>
      </x:c>
      <x:c r="D150" s="29" t="n">
        <x:v>0.232</x:v>
      </x:c>
      <x:c r="E150" s="26" t="n">
        <x:v>0</x:v>
      </x:c>
      <x:c r="F150" s="26" t="n">
        <x:v>5</x:v>
      </x:c>
      <x:c r="G150" s="26" t="n">
        <x:v>41</x:v>
      </x:c>
      <x:c r="H150" s="26" t="n">
        <x:v>9</x:v>
      </x:c>
      <x:c r="I150" s="17" t="str">
        <x:v>N</x:v>
      </x:c>
      <x:c r="J150" s="20" t="n">
        <x:v>45752.58194444444</x:v>
      </x:c>
    </x:row>
    <x:row r="151">
      <x:c r="A151" s="17" t="str">
        <x:v>APP2025000147</x:v>
      </x:c>
      <x:c r="B151" s="20" t="n">
        <x:v>45762.654861111114</x:v>
      </x:c>
      <x:c r="C151" s="26" t="n">
        <x:v>690</x:v>
      </x:c>
      <x:c r="D151" s="29" t="n">
        <x:v>0.216</x:v>
      </x:c>
      <x:c r="E151" s="26" t="n">
        <x:v>5</x:v>
      </x:c>
      <x:c r="F151" s="26" t="n">
        <x:v>1</x:v>
      </x:c>
      <x:c r="G151" s="26" t="n">
        <x:v>49</x:v>
      </x:c>
      <x:c r="H151" s="26" t="n">
        <x:v>8</x:v>
      </x:c>
      <x:c r="I151" s="17" t="str">
        <x:v>N</x:v>
      </x:c>
      <x:c r="J151" s="20" t="n">
        <x:v>45762.65625</x:v>
      </x:c>
    </x:row>
    <x:row r="152">
      <x:c r="A152" s="17" t="str">
        <x:v>APP2025000148</x:v>
      </x:c>
      <x:c r="B152" s="20" t="n">
        <x:v>45772.39791666667</x:v>
      </x:c>
      <x:c r="C152" s="26" t="n">
        <x:v>644</x:v>
      </x:c>
      <x:c r="D152" s="29" t="n">
        <x:v>0.457</x:v>
      </x:c>
      <x:c r="E152" s="26" t="n">
        <x:v>2</x:v>
      </x:c>
      <x:c r="F152" s="26" t="n">
        <x:v>1</x:v>
      </x:c>
      <x:c r="G152" s="26" t="n">
        <x:v>36</x:v>
      </x:c>
      <x:c r="H152" s="26" t="n">
        <x:v>3</x:v>
      </x:c>
      <x:c r="I152" s="17" t="str">
        <x:v>N</x:v>
      </x:c>
      <x:c r="J152" s="20" t="n">
        <x:v>45772.399305555555</x:v>
      </x:c>
    </x:row>
    <x:row r="153">
      <x:c r="A153" s="17" t="str">
        <x:v>APP2025000149</x:v>
      </x:c>
      <x:c r="B153" s="20" t="n">
        <x:v>45758.68402777778</x:v>
      </x:c>
      <x:c r="C153" s="26" t="n">
        <x:v>711</x:v>
      </x:c>
      <x:c r="D153" s="29" t="n">
        <x:v>0.571</x:v>
      </x:c>
      <x:c r="E153" s="26" t="n">
        <x:v>0</x:v>
      </x:c>
      <x:c r="F153" s="26" t="n">
        <x:v>0</x:v>
      </x:c>
      <x:c r="G153" s="26" t="n">
        <x:v>0</x:v>
      </x:c>
      <x:c r="H153" s="26" t="n">
        <x:v>3</x:v>
      </x:c>
      <x:c r="I153" s="17" t="str">
        <x:v>N</x:v>
      </x:c>
      <x:c r="J153" s="20" t="n">
        <x:v>45758.68541666667</x:v>
      </x:c>
    </x:row>
    <x:row r="154">
      <x:c r="A154" s="17" t="str">
        <x:v>APP2025000150</x:v>
      </x:c>
      <x:c r="B154" s="20" t="n">
        <x:v>45724.65</x:v>
      </x:c>
      <x:c r="C154" s="26" t="n">
        <x:v>706</x:v>
      </x:c>
      <x:c r="D154" s="29" t="n">
        <x:v>0.262</x:v>
      </x:c>
      <x:c r="E154" s="26" t="n">
        <x:v>0</x:v>
      </x:c>
      <x:c r="F154" s="26" t="n">
        <x:v>0</x:v>
      </x:c>
      <x:c r="G154" s="26" t="n">
        <x:v>0</x:v>
      </x:c>
      <x:c r="H154" s="26" t="n">
        <x:v>4</x:v>
      </x:c>
      <x:c r="I154" s="17" t="str">
        <x:v>N</x:v>
      </x:c>
      <x:c r="J154" s="20" t="n">
        <x:v>45724.65138888889</x:v>
      </x:c>
    </x:row>
    <x:row r="155">
      <x:c r="A155" s="17" t="str">
        <x:v>APP2025000151</x:v>
      </x:c>
      <x:c r="B155" s="20" t="n">
        <x:v>45683.376388888886</x:v>
      </x:c>
      <x:c r="C155" s="26" t="n">
        <x:v>661</x:v>
      </x:c>
      <x:c r="D155" s="29" t="n">
        <x:v>0.734</x:v>
      </x:c>
      <x:c r="E155" s="26" t="n">
        <x:v>3</x:v>
      </x:c>
      <x:c r="F155" s="26" t="n">
        <x:v>0</x:v>
      </x:c>
      <x:c r="G155" s="26" t="n">
        <x:v>0</x:v>
      </x:c>
      <x:c r="H155" s="26" t="n">
        <x:v>2</x:v>
      </x:c>
      <x:c r="I155" s="17" t="str">
        <x:v>N</x:v>
      </x:c>
      <x:c r="J155" s="20" t="n">
        <x:v>45683.37777777778</x:v>
      </x:c>
    </x:row>
    <x:row r="156">
      <x:c r="A156" s="17" t="str">
        <x:v>APP2025000152</x:v>
      </x:c>
      <x:c r="B156" s="20" t="n">
        <x:v>45699.63333333333</x:v>
      </x:c>
      <x:c r="C156" s="26" t="n">
        <x:v>628</x:v>
      </x:c>
      <x:c r="D156" s="29" t="n">
        <x:v>0.394</x:v>
      </x:c>
      <x:c r="E156" s="26" t="n">
        <x:v>1</x:v>
      </x:c>
      <x:c r="F156" s="26" t="n">
        <x:v>0</x:v>
      </x:c>
      <x:c r="G156" s="26" t="n">
        <x:v>0</x:v>
      </x:c>
      <x:c r="H156" s="26" t="n">
        <x:v>7</x:v>
      </x:c>
      <x:c r="I156" s="17" t="str">
        <x:v>N</x:v>
      </x:c>
      <x:c r="J156" s="20" t="n">
        <x:v>45699.634722222225</x:v>
      </x:c>
    </x:row>
    <x:row r="157">
      <x:c r="A157" s="17" t="str">
        <x:v>APP2025000153</x:v>
      </x:c>
      <x:c r="B157" s="20" t="n">
        <x:v>45757.59027777778</x:v>
      </x:c>
      <x:c r="C157" s="26" t="n">
        <x:v>561</x:v>
      </x:c>
      <x:c r="D157" s="29" t="n">
        <x:v>0.902</x:v>
      </x:c>
      <x:c r="E157" s="26" t="n">
        <x:v>5</x:v>
      </x:c>
      <x:c r="F157" s="26" t="n">
        <x:v>2</x:v>
      </x:c>
      <x:c r="G157" s="26" t="n">
        <x:v>32</x:v>
      </x:c>
      <x:c r="H157" s="26" t="n">
        <x:v>2</x:v>
      </x:c>
      <x:c r="I157" s="17" t="str">
        <x:v>N</x:v>
      </x:c>
      <x:c r="J157" s="20" t="n">
        <x:v>45757.59166666667</x:v>
      </x:c>
    </x:row>
    <x:row r="158">
      <x:c r="A158" s="17" t="str">
        <x:v>APP2025000154</x:v>
      </x:c>
      <x:c r="B158" s="20" t="n">
        <x:v>45700.65972222222</x:v>
      </x:c>
      <x:c r="C158" s="26" t="n">
        <x:v>454</x:v>
      </x:c>
      <x:c r="D158" s="29" t="n">
        <x:v>0.817</x:v>
      </x:c>
      <x:c r="E158" s="26" t="n">
        <x:v>3</x:v>
      </x:c>
      <x:c r="F158" s="26" t="n">
        <x:v>4</x:v>
      </x:c>
      <x:c r="G158" s="26" t="n">
        <x:v>14</x:v>
      </x:c>
      <x:c r="H158" s="26" t="n">
        <x:v>11</x:v>
      </x:c>
      <x:c r="I158" s="17" t="str">
        <x:v>N</x:v>
      </x:c>
      <x:c r="J158" s="20" t="n">
        <x:v>45700.66111111111</x:v>
      </x:c>
    </x:row>
    <x:row r="159">
      <x:c r="A159" s="17" t="str">
        <x:v>APP2025000155</x:v>
      </x:c>
      <x:c r="B159" s="20" t="n">
        <x:v>45785.47152777778</x:v>
      </x:c>
      <x:c r="C159" s="26" t="n">
        <x:v>610</x:v>
      </x:c>
      <x:c r="D159" s="29"/>
      <x:c r="E159" s="26" t="n">
        <x:v>0</x:v>
      </x:c>
      <x:c r="F159" s="26" t="n">
        <x:v>0</x:v>
      </x:c>
      <x:c r="G159" s="26" t="n">
        <x:v>0</x:v>
      </x:c>
      <x:c r="H159" s="26" t="n">
        <x:v>8</x:v>
      </x:c>
      <x:c r="I159" s="17" t="str">
        <x:v>N</x:v>
      </x:c>
      <x:c r="J159" s="20" t="n">
        <x:v>45785.472916666666</x:v>
      </x:c>
    </x:row>
    <x:row r="160">
      <x:c r="A160" s="17" t="str">
        <x:v>APP2025000156</x:v>
      </x:c>
      <x:c r="B160" s="20" t="n">
        <x:v>45790.70763888889</x:v>
      </x:c>
      <x:c r="C160" s="26" t="n">
        <x:v>626</x:v>
      </x:c>
      <x:c r="D160" s="29" t="n">
        <x:v>0.468</x:v>
      </x:c>
      <x:c r="E160" s="26" t="n">
        <x:v>0</x:v>
      </x:c>
      <x:c r="F160" s="26" t="n">
        <x:v>1</x:v>
      </x:c>
      <x:c r="G160" s="26" t="n">
        <x:v>66</x:v>
      </x:c>
      <x:c r="H160" s="26" t="n">
        <x:v>9</x:v>
      </x:c>
      <x:c r="I160" s="17" t="str">
        <x:v>N</x:v>
      </x:c>
      <x:c r="J160" s="20" t="n">
        <x:v>45790.709027777775</x:v>
      </x:c>
    </x:row>
    <x:row r="161">
      <x:c r="A161" s="17" t="str">
        <x:v>APP2025000157</x:v>
      </x:c>
      <x:c r="B161" s="20" t="n">
        <x:v>45780.67569444444</x:v>
      </x:c>
      <x:c r="C161" s="26" t="n">
        <x:v>665</x:v>
      </x:c>
      <x:c r="D161" s="29" t="n">
        <x:v>0.615</x:v>
      </x:c>
      <x:c r="E161" s="26" t="n">
        <x:v>0</x:v>
      </x:c>
      <x:c r="F161" s="26" t="n">
        <x:v>1</x:v>
      </x:c>
      <x:c r="G161" s="26" t="n">
        <x:v>22</x:v>
      </x:c>
      <x:c r="H161" s="26" t="n">
        <x:v>10</x:v>
      </x:c>
      <x:c r="I161" s="17" t="str">
        <x:v>N</x:v>
      </x:c>
      <x:c r="J161" s="20" t="n">
        <x:v>45780.677083333336</x:v>
      </x:c>
    </x:row>
    <x:row r="162">
      <x:c r="A162" s="17" t="str">
        <x:v>APP2025000158</x:v>
      </x:c>
      <x:c r="B162" s="20" t="n">
        <x:v>45744.638194444444</x:v>
      </x:c>
      <x:c r="C162" s="26" t="n">
        <x:v>636</x:v>
      </x:c>
      <x:c r="D162" s="29" t="n">
        <x:v>0.886</x:v>
      </x:c>
      <x:c r="E162" s="26" t="n">
        <x:v>2</x:v>
      </x:c>
      <x:c r="F162" s="26" t="n">
        <x:v>0</x:v>
      </x:c>
      <x:c r="G162" s="26" t="n">
        <x:v>0</x:v>
      </x:c>
      <x:c r="H162" s="26" t="n">
        <x:v>1</x:v>
      </x:c>
      <x:c r="I162" s="17" t="str">
        <x:v>Y</x:v>
      </x:c>
      <x:c r="J162" s="20" t="n">
        <x:v>45744.63958333333</x:v>
      </x:c>
    </x:row>
    <x:row r="163">
      <x:c r="A163" s="17" t="str">
        <x:v>APP2025000159</x:v>
      </x:c>
      <x:c r="B163" s="20" t="n">
        <x:v>45670.322222222225</x:v>
      </x:c>
      <x:c r="C163" s="26" t="n">
        <x:v>629</x:v>
      </x:c>
      <x:c r="D163" s="29" t="n">
        <x:v>0.299</x:v>
      </x:c>
      <x:c r="E163" s="26" t="n">
        <x:v>4</x:v>
      </x:c>
      <x:c r="F163" s="26" t="n">
        <x:v>0</x:v>
      </x:c>
      <x:c r="G163" s="26" t="n">
        <x:v>0</x:v>
      </x:c>
      <x:c r="H163" s="26" t="n">
        <x:v>11</x:v>
      </x:c>
      <x:c r="I163" s="17" t="str">
        <x:v>N</x:v>
      </x:c>
      <x:c r="J163" s="20" t="n">
        <x:v>45670.32361111111</x:v>
      </x:c>
    </x:row>
    <x:row r="164">
      <x:c r="A164" s="17" t="str">
        <x:v>APP2025000160</x:v>
      </x:c>
      <x:c r="B164" s="20" t="n">
        <x:v>45812.58819444444</x:v>
      </x:c>
      <x:c r="C164" s="26" t="n">
        <x:v>718</x:v>
      </x:c>
      <x:c r="D164" s="29" t="n">
        <x:v>0.292</x:v>
      </x:c>
      <x:c r="E164" s="26" t="n">
        <x:v>0</x:v>
      </x:c>
      <x:c r="F164" s="26" t="n">
        <x:v>0</x:v>
      </x:c>
      <x:c r="G164" s="26" t="n">
        <x:v>0</x:v>
      </x:c>
      <x:c r="H164" s="26" t="n">
        <x:v>3</x:v>
      </x:c>
      <x:c r="I164" s="17" t="str">
        <x:v>N</x:v>
      </x:c>
      <x:c r="J164" s="20" t="n">
        <x:v>45812.589583333334</x:v>
      </x:c>
    </x:row>
    <x:row r="165">
      <x:c r="A165" s="17" t="str">
        <x:v>APP2025000161</x:v>
      </x:c>
      <x:c r="B165" s="20" t="n">
        <x:v>45733.506944444445</x:v>
      </x:c>
      <x:c r="C165" s="26" t="n">
        <x:v>639</x:v>
      </x:c>
      <x:c r="D165" s="29" t="n">
        <x:v>0.946</x:v>
      </x:c>
      <x:c r="E165" s="26" t="n">
        <x:v>4</x:v>
      </x:c>
      <x:c r="F165" s="26" t="n">
        <x:v>0</x:v>
      </x:c>
      <x:c r="G165" s="26" t="n">
        <x:v>0</x:v>
      </x:c>
      <x:c r="H165" s="26" t="n">
        <x:v>0</x:v>
      </x:c>
      <x:c r="I165" s="17" t="str">
        <x:v>N</x:v>
      </x:c>
      <x:c r="J165" s="20" t="n">
        <x:v>45733.50833333333</x:v>
      </x:c>
    </x:row>
    <x:row r="166">
      <x:c r="A166" s="17" t="str">
        <x:v>APP2025000162</x:v>
      </x:c>
      <x:c r="B166" s="20" t="n">
        <x:v>45791.41875</x:v>
      </x:c>
      <x:c r="C166" s="26" t="n">
        <x:v>706</x:v>
      </x:c>
      <x:c r="D166" s="29" t="n">
        <x:v>0.277</x:v>
      </x:c>
      <x:c r="E166" s="26" t="n">
        <x:v>3</x:v>
      </x:c>
      <x:c r="F166" s="26" t="n">
        <x:v>0</x:v>
      </x:c>
      <x:c r="G166" s="26" t="n">
        <x:v>0</x:v>
      </x:c>
      <x:c r="H166" s="26" t="n">
        <x:v>3</x:v>
      </x:c>
      <x:c r="I166" s="17" t="str">
        <x:v>N</x:v>
      </x:c>
      <x:c r="J166" s="20" t="n">
        <x:v>45791.42013888889</x:v>
      </x:c>
    </x:row>
    <x:row r="167">
      <x:c r="A167" s="17" t="str">
        <x:v>APP2025000163</x:v>
      </x:c>
      <x:c r="B167" s="20" t="n">
        <x:v>45677.56597222222</x:v>
      </x:c>
      <x:c r="C167" s="26" t="n">
        <x:v>646</x:v>
      </x:c>
      <x:c r="D167" s="29" t="n">
        <x:v>0.73</x:v>
      </x:c>
      <x:c r="E167" s="26" t="n">
        <x:v>3</x:v>
      </x:c>
      <x:c r="F167" s="26" t="n">
        <x:v>0</x:v>
      </x:c>
      <x:c r="G167" s="26" t="n">
        <x:v>0</x:v>
      </x:c>
      <x:c r="H167" s="26" t="n">
        <x:v>4</x:v>
      </x:c>
      <x:c r="I167" s="17" t="str">
        <x:v>N</x:v>
      </x:c>
      <x:c r="J167" s="20" t="n">
        <x:v>45677.56736111111</x:v>
      </x:c>
    </x:row>
    <x:row r="168">
      <x:c r="A168" s="17" t="str">
        <x:v>APP2025000164</x:v>
      </x:c>
      <x:c r="B168" s="20" t="n">
        <x:v>45709.42916666667</x:v>
      </x:c>
      <x:c r="C168" s="26" t="n">
        <x:v>603</x:v>
      </x:c>
      <x:c r="D168" s="29" t="n">
        <x:v>0.638</x:v>
      </x:c>
      <x:c r="E168" s="26" t="n">
        <x:v>5</x:v>
      </x:c>
      <x:c r="F168" s="26" t="n">
        <x:v>0</x:v>
      </x:c>
      <x:c r="G168" s="26" t="n">
        <x:v>0</x:v>
      </x:c>
      <x:c r="H168" s="26" t="n">
        <x:v>3</x:v>
      </x:c>
      <x:c r="I168" s="17" t="str">
        <x:v>N</x:v>
      </x:c>
      <x:c r="J168" s="20" t="n">
        <x:v>45709.430555555555</x:v>
      </x:c>
    </x:row>
    <x:row r="169">
      <x:c r="A169" s="17" t="str">
        <x:v>APP2025000165</x:v>
      </x:c>
      <x:c r="B169" s="20" t="n">
        <x:v>45836.54791666667</x:v>
      </x:c>
      <x:c r="C169" s="26" t="n">
        <x:v>615</x:v>
      </x:c>
      <x:c r="D169" s="29" t="n">
        <x:v>0.644</x:v>
      </x:c>
      <x:c r="E169" s="26" t="n">
        <x:v>4</x:v>
      </x:c>
      <x:c r="F169" s="26" t="n">
        <x:v>1</x:v>
      </x:c>
      <x:c r="G169" s="26" t="n">
        <x:v>33</x:v>
      </x:c>
      <x:c r="H169" s="26" t="n">
        <x:v>4</x:v>
      </x:c>
      <x:c r="I169" s="17" t="str">
        <x:v>N</x:v>
      </x:c>
      <x:c r="J169" s="20" t="n">
        <x:v>45836.549305555556</x:v>
      </x:c>
    </x:row>
    <x:row r="170">
      <x:c r="A170" s="17" t="str">
        <x:v>APP2025000166</x:v>
      </x:c>
      <x:c r="B170" s="20" t="n">
        <x:v>45712.646527777775</x:v>
      </x:c>
      <x:c r="C170" s="26" t="n">
        <x:v>613</x:v>
      </x:c>
      <x:c r="D170" s="29" t="n">
        <x:v>0.644</x:v>
      </x:c>
      <x:c r="E170" s="26" t="n">
        <x:v>1</x:v>
      </x:c>
      <x:c r="F170" s="26" t="n">
        <x:v>0</x:v>
      </x:c>
      <x:c r="G170" s="26" t="n">
        <x:v>0</x:v>
      </x:c>
      <x:c r="H170" s="26" t="n">
        <x:v>3</x:v>
      </x:c>
      <x:c r="I170" s="17" t="str">
        <x:v>N</x:v>
      </x:c>
      <x:c r="J170" s="20" t="n">
        <x:v>45712.64791666667</x:v>
      </x:c>
    </x:row>
    <x:row r="171">
      <x:c r="A171" s="17" t="str">
        <x:v>APP2025000167</x:v>
      </x:c>
      <x:c r="B171" s="20" t="n">
        <x:v>45824.58472222222</x:v>
      </x:c>
      <x:c r="C171" s="26" t="n">
        <x:v>615</x:v>
      </x:c>
      <x:c r="D171" s="29" t="n">
        <x:v>0.651</x:v>
      </x:c>
      <x:c r="E171" s="26" t="n">
        <x:v>0</x:v>
      </x:c>
      <x:c r="F171" s="26" t="n">
        <x:v>0</x:v>
      </x:c>
      <x:c r="G171" s="26" t="n">
        <x:v>0</x:v>
      </x:c>
      <x:c r="H171" s="26" t="n">
        <x:v>3</x:v>
      </x:c>
      <x:c r="I171" s="17" t="str">
        <x:v>N</x:v>
      </x:c>
      <x:c r="J171" s="20" t="n">
        <x:v>45824.58611111111</x:v>
      </x:c>
    </x:row>
    <x:row r="172">
      <x:c r="A172" s="17" t="str">
        <x:v>APP2025000168</x:v>
      </x:c>
      <x:c r="B172" s="20" t="n">
        <x:v>45754.563888888886</x:v>
      </x:c>
      <x:c r="C172" s="26" t="n">
        <x:v>504</x:v>
      </x:c>
      <x:c r="D172" s="29" t="n">
        <x:v>0.279</x:v>
      </x:c>
      <x:c r="E172" s="26" t="n">
        <x:v>1</x:v>
      </x:c>
      <x:c r="F172" s="26" t="n">
        <x:v>5</x:v>
      </x:c>
      <x:c r="G172" s="26" t="n">
        <x:v>123</x:v>
      </x:c>
      <x:c r="H172" s="26" t="n">
        <x:v>3</x:v>
      </x:c>
      <x:c r="I172" s="17" t="str">
        <x:v>Y</x:v>
      </x:c>
      <x:c r="J172" s="20" t="n">
        <x:v>45754.56527777778</x:v>
      </x:c>
    </x:row>
    <x:row r="173">
      <x:c r="A173" s="17" t="str">
        <x:v>APP2025000169</x:v>
      </x:c>
      <x:c r="B173" s="20" t="n">
        <x:v>45758.709027777775</x:v>
      </x:c>
      <x:c r="C173" s="26" t="n">
        <x:v>669</x:v>
      </x:c>
      <x:c r="D173" s="29" t="n">
        <x:v>0.615</x:v>
      </x:c>
      <x:c r="E173" s="26" t="n">
        <x:v>5</x:v>
      </x:c>
      <x:c r="F173" s="26" t="n">
        <x:v>1</x:v>
      </x:c>
      <x:c r="G173" s="26" t="n">
        <x:v>32</x:v>
      </x:c>
      <x:c r="H173" s="26" t="n">
        <x:v>6</x:v>
      </x:c>
      <x:c r="I173" s="17" t="str">
        <x:v>N</x:v>
      </x:c>
      <x:c r="J173" s="20" t="n">
        <x:v>45758.71041666667</x:v>
      </x:c>
    </x:row>
    <x:row r="174">
      <x:c r="A174" s="17" t="str">
        <x:v>APP2025000170</x:v>
      </x:c>
      <x:c r="B174" s="20" t="n">
        <x:v>45718.49444444444</x:v>
      </x:c>
      <x:c r="C174" s="26" t="n">
        <x:v>704</x:v>
      </x:c>
      <x:c r="D174" s="29" t="n">
        <x:v>0.653</x:v>
      </x:c>
      <x:c r="E174" s="26" t="n">
        <x:v>5</x:v>
      </x:c>
      <x:c r="F174" s="26" t="n">
        <x:v>0</x:v>
      </x:c>
      <x:c r="G174" s="26" t="n">
        <x:v>0</x:v>
      </x:c>
      <x:c r="H174" s="26" t="n">
        <x:v>5</x:v>
      </x:c>
      <x:c r="I174" s="17" t="str">
        <x:v>N</x:v>
      </x:c>
      <x:c r="J174" s="20" t="n">
        <x:v>45718.495833333334</x:v>
      </x:c>
    </x:row>
    <x:row r="175">
      <x:c r="A175" s="17" t="str">
        <x:v>APP2025000171</x:v>
      </x:c>
      <x:c r="B175" s="20" t="n">
        <x:v>45688.45277777778</x:v>
      </x:c>
      <x:c r="C175" s="26" t="n">
        <x:v>628</x:v>
      </x:c>
      <x:c r="D175" s="29" t="n">
        <x:v>0.233</x:v>
      </x:c>
      <x:c r="E175" s="26" t="n">
        <x:v>5</x:v>
      </x:c>
      <x:c r="F175" s="26" t="n">
        <x:v>2</x:v>
      </x:c>
      <x:c r="G175" s="26" t="n">
        <x:v>10</x:v>
      </x:c>
      <x:c r="H175" s="26" t="n">
        <x:v>6</x:v>
      </x:c>
      <x:c r="I175" s="17" t="str">
        <x:v>N</x:v>
      </x:c>
      <x:c r="J175" s="20" t="n">
        <x:v>45688.45416666667</x:v>
      </x:c>
    </x:row>
    <x:row r="176">
      <x:c r="A176" s="17" t="str">
        <x:v>APP2025000172</x:v>
      </x:c>
      <x:c r="B176" s="20" t="n">
        <x:v>45737.39722222222</x:v>
      </x:c>
      <x:c r="C176" s="26" t="n">
        <x:v>598</x:v>
      </x:c>
      <x:c r="D176" s="29" t="n">
        <x:v>0.851</x:v>
      </x:c>
      <x:c r="E176" s="26" t="n">
        <x:v>1</x:v>
      </x:c>
      <x:c r="F176" s="26" t="n">
        <x:v>2</x:v>
      </x:c>
      <x:c r="G176" s="26" t="n">
        <x:v>50</x:v>
      </x:c>
      <x:c r="H176" s="26" t="n">
        <x:v>5</x:v>
      </x:c>
      <x:c r="I176" s="17" t="str">
        <x:v>N</x:v>
      </x:c>
      <x:c r="J176" s="20" t="n">
        <x:v>45737.39861111111</x:v>
      </x:c>
    </x:row>
    <x:row r="177">
      <x:c r="A177" s="17" t="str">
        <x:v>APP2025000173</x:v>
      </x:c>
      <x:c r="B177" s="20" t="n">
        <x:v>45744.31458333333</x:v>
      </x:c>
      <x:c r="C177" s="26" t="n">
        <x:v>497</x:v>
      </x:c>
      <x:c r="D177" s="29" t="n">
        <x:v>0.377</x:v>
      </x:c>
      <x:c r="E177" s="26" t="n">
        <x:v>5</x:v>
      </x:c>
      <x:c r="F177" s="26" t="n">
        <x:v>4</x:v>
      </x:c>
      <x:c r="G177" s="26" t="n">
        <x:v>137</x:v>
      </x:c>
      <x:c r="H177" s="26" t="n">
        <x:v>4</x:v>
      </x:c>
      <x:c r="I177" s="17" t="str">
        <x:v>N</x:v>
      </x:c>
      <x:c r="J177" s="20" t="n">
        <x:v>45744.31597222222</x:v>
      </x:c>
    </x:row>
    <x:row r="178">
      <x:c r="A178" s="17" t="str">
        <x:v>APP2025000174</x:v>
      </x:c>
      <x:c r="B178" s="20" t="n">
        <x:v>45679.62222222222</x:v>
      </x:c>
      <x:c r="C178" s="26" t="n">
        <x:v>681</x:v>
      </x:c>
      <x:c r="D178" s="29" t="n">
        <x:v>0.961</x:v>
      </x:c>
      <x:c r="E178" s="26" t="n">
        <x:v>2</x:v>
      </x:c>
      <x:c r="F178" s="26" t="n">
        <x:v>0</x:v>
      </x:c>
      <x:c r="G178" s="26" t="n">
        <x:v>0</x:v>
      </x:c>
      <x:c r="H178" s="26" t="n">
        <x:v>5</x:v>
      </x:c>
      <x:c r="I178" s="17" t="str">
        <x:v>N</x:v>
      </x:c>
      <x:c r="J178" s="20" t="n">
        <x:v>45679.623611111114</x:v>
      </x:c>
    </x:row>
    <x:row r="179">
      <x:c r="A179" s="17" t="str">
        <x:v>APP2025000175</x:v>
      </x:c>
      <x:c r="B179" s="20" t="n">
        <x:v>45754.46666666667</x:v>
      </x:c>
      <x:c r="C179" s="26" t="n">
        <x:v>680</x:v>
      </x:c>
      <x:c r="D179" s="29" t="n">
        <x:v>0.664</x:v>
      </x:c>
      <x:c r="E179" s="26" t="n">
        <x:v>4</x:v>
      </x:c>
      <x:c r="F179" s="26" t="n">
        <x:v>0</x:v>
      </x:c>
      <x:c r="G179" s="26" t="n">
        <x:v>0</x:v>
      </x:c>
      <x:c r="H179" s="26" t="n">
        <x:v>4</x:v>
      </x:c>
      <x:c r="I179" s="17" t="str">
        <x:v>N</x:v>
      </x:c>
      <x:c r="J179" s="20" t="n">
        <x:v>45754.46805555555</x:v>
      </x:c>
    </x:row>
    <x:row r="180">
      <x:c r="A180" s="17" t="str">
        <x:v>APP2025000176</x:v>
      </x:c>
      <x:c r="B180" s="20" t="n">
        <x:v>45745.56041666667</x:v>
      </x:c>
      <x:c r="C180" s="26" t="n">
        <x:v>706</x:v>
      </x:c>
      <x:c r="D180" s="29" t="n">
        <x:v>0.467</x:v>
      </x:c>
      <x:c r="E180" s="26" t="n">
        <x:v>3</x:v>
      </x:c>
      <x:c r="F180" s="26" t="n">
        <x:v>0</x:v>
      </x:c>
      <x:c r="G180" s="26" t="n">
        <x:v>0</x:v>
      </x:c>
      <x:c r="H180" s="26" t="n">
        <x:v>3</x:v>
      </x:c>
      <x:c r="I180" s="17" t="str">
        <x:v>N</x:v>
      </x:c>
      <x:c r="J180" s="20" t="n">
        <x:v>45745.56180555555</x:v>
      </x:c>
    </x:row>
    <x:row r="181">
      <x:c r="A181" s="17" t="str">
        <x:v>APP2025000177</x:v>
      </x:c>
      <x:c r="B181" s="20" t="n">
        <x:v>45728.56319444445</x:v>
      </x:c>
      <x:c r="C181" s="26" t="n">
        <x:v>491</x:v>
      </x:c>
      <x:c r="D181" s="29" t="n">
        <x:v>0.981</x:v>
      </x:c>
      <x:c r="E181" s="26" t="n">
        <x:v>1</x:v>
      </x:c>
      <x:c r="F181" s="26" t="n">
        <x:v>5</x:v>
      </x:c>
      <x:c r="G181" s="26" t="n">
        <x:v>48</x:v>
      </x:c>
      <x:c r="H181" s="26" t="n">
        <x:v>11</x:v>
      </x:c>
      <x:c r="I181" s="17" t="str">
        <x:v>N</x:v>
      </x:c>
      <x:c r="J181" s="20" t="n">
        <x:v>45728.56458333333</x:v>
      </x:c>
    </x:row>
    <x:row r="182">
      <x:c r="A182" s="17" t="str">
        <x:v>APP2025000178</x:v>
      </x:c>
      <x:c r="B182" s="20" t="n">
        <x:v>45796.63402777778</x:v>
      </x:c>
      <x:c r="C182" s="26" t="n">
        <x:v>597</x:v>
      </x:c>
      <x:c r="D182" s="29" t="n">
        <x:v>0.938</x:v>
      </x:c>
      <x:c r="E182" s="26" t="n">
        <x:v>5</x:v>
      </x:c>
      <x:c r="F182" s="26" t="n">
        <x:v>1</x:v>
      </x:c>
      <x:c r="G182" s="26" t="n">
        <x:v>6</x:v>
      </x:c>
      <x:c r="H182" s="26" t="n">
        <x:v>1</x:v>
      </x:c>
      <x:c r="I182" s="17" t="str">
        <x:v>Y</x:v>
      </x:c>
      <x:c r="J182" s="20" t="n">
        <x:v>45796.635416666664</x:v>
      </x:c>
    </x:row>
    <x:row r="183">
      <x:c r="A183" s="17" t="str">
        <x:v>APP2025000179</x:v>
      </x:c>
      <x:c r="B183" s="20" t="n">
        <x:v>45809.38888888889</x:v>
      </x:c>
      <x:c r="C183" s="26" t="n">
        <x:v>663</x:v>
      </x:c>
      <x:c r="D183" s="29" t="n">
        <x:v>0.988</x:v>
      </x:c>
      <x:c r="E183" s="26" t="n">
        <x:v>0</x:v>
      </x:c>
      <x:c r="F183" s="26" t="n">
        <x:v>0</x:v>
      </x:c>
      <x:c r="G183" s="26" t="n">
        <x:v>0</x:v>
      </x:c>
      <x:c r="H183" s="26" t="n">
        <x:v>2</x:v>
      </x:c>
      <x:c r="I183" s="17" t="str">
        <x:v>N</x:v>
      </x:c>
      <x:c r="J183" s="20" t="n">
        <x:v>45809.39027777778</x:v>
      </x:c>
    </x:row>
    <x:row r="184">
      <x:c r="A184" s="17" t="str">
        <x:v>APP2025000180</x:v>
      </x:c>
      <x:c r="B184" s="20" t="n">
        <x:v>45778.3875</x:v>
      </x:c>
      <x:c r="C184" s="26" t="n">
        <x:v>649</x:v>
      </x:c>
      <x:c r="D184" s="29" t="n">
        <x:v>0.91</x:v>
      </x:c>
      <x:c r="E184" s="26" t="n">
        <x:v>3</x:v>
      </x:c>
      <x:c r="F184" s="26" t="n">
        <x:v>0</x:v>
      </x:c>
      <x:c r="G184" s="26" t="n">
        <x:v>0</x:v>
      </x:c>
      <x:c r="H184" s="26" t="n">
        <x:v>4</x:v>
      </x:c>
      <x:c r="I184" s="17" t="str">
        <x:v>N</x:v>
      </x:c>
      <x:c r="J184" s="20" t="n">
        <x:v>45778.38888888889</x:v>
      </x:c>
    </x:row>
    <x:row r="185">
      <x:c r="A185" s="17" t="str">
        <x:v>APP2025000181</x:v>
      </x:c>
      <x:c r="B185" s="20" t="n">
        <x:v>45825.57430555556</x:v>
      </x:c>
      <x:c r="C185" s="26" t="n">
        <x:v>687</x:v>
      </x:c>
      <x:c r="D185" s="29" t="n">
        <x:v>0.791</x:v>
      </x:c>
      <x:c r="E185" s="26" t="n">
        <x:v>3</x:v>
      </x:c>
      <x:c r="F185" s="26" t="n">
        <x:v>0</x:v>
      </x:c>
      <x:c r="G185" s="26" t="n">
        <x:v>0</x:v>
      </x:c>
      <x:c r="H185" s="26" t="n">
        <x:v>7</x:v>
      </x:c>
      <x:c r="I185" s="17" t="str">
        <x:v>N</x:v>
      </x:c>
      <x:c r="J185" s="20" t="n">
        <x:v>45825.575694444444</x:v>
      </x:c>
    </x:row>
    <x:row r="186">
      <x:c r="A186" s="17" t="str">
        <x:v>APP2025000182</x:v>
      </x:c>
      <x:c r="B186" s="20" t="n">
        <x:v>45790.51597222222</x:v>
      </x:c>
      <x:c r="C186" s="26" t="n">
        <x:v>544</x:v>
      </x:c>
      <x:c r="D186" s="29" t="n">
        <x:v>0.99</x:v>
      </x:c>
      <x:c r="E186" s="26" t="n">
        <x:v>3</x:v>
      </x:c>
      <x:c r="F186" s="26" t="n">
        <x:v>2</x:v>
      </x:c>
      <x:c r="G186" s="26" t="n">
        <x:v>80</x:v>
      </x:c>
      <x:c r="H186" s="26" t="n">
        <x:v>0</x:v>
      </x:c>
      <x:c r="I186" s="17" t="str">
        <x:v>N</x:v>
      </x:c>
      <x:c r="J186" s="20" t="n">
        <x:v>45790.51736111111</x:v>
      </x:c>
    </x:row>
    <x:row r="187">
      <x:c r="A187" s="17" t="str">
        <x:v>APP2025000183</x:v>
      </x:c>
      <x:c r="B187" s="20" t="n">
        <x:v>45666.36041666667</x:v>
      </x:c>
      <x:c r="C187" s="26" t="n">
        <x:v>508</x:v>
      </x:c>
      <x:c r="D187" s="29" t="n">
        <x:v>0.385</x:v>
      </x:c>
      <x:c r="E187" s="26" t="n">
        <x:v>4</x:v>
      </x:c>
      <x:c r="F187" s="26" t="n">
        <x:v>4</x:v>
      </x:c>
      <x:c r="G187" s="26" t="n">
        <x:v>139</x:v>
      </x:c>
      <x:c r="H187" s="26" t="n">
        <x:v>9</x:v>
      </x:c>
      <x:c r="I187" s="17" t="str">
        <x:v>N</x:v>
      </x:c>
      <x:c r="J187" s="20" t="n">
        <x:v>45666.361805555556</x:v>
      </x:c>
    </x:row>
    <x:row r="188">
      <x:c r="A188" s="17" t="str">
        <x:v>APP2025000184</x:v>
      </x:c>
      <x:c r="B188" s="20" t="n">
        <x:v>45832.41805555556</x:v>
      </x:c>
      <x:c r="C188" s="26" t="n">
        <x:v>505</x:v>
      </x:c>
      <x:c r="D188" s="29" t="n">
        <x:v>0.813</x:v>
      </x:c>
      <x:c r="E188" s="26" t="n">
        <x:v>0</x:v>
      </x:c>
      <x:c r="F188" s="26" t="n">
        <x:v>4</x:v>
      </x:c>
      <x:c r="G188" s="26" t="n">
        <x:v>60</x:v>
      </x:c>
      <x:c r="H188" s="26" t="n">
        <x:v>7</x:v>
      </x:c>
      <x:c r="I188" s="17" t="str">
        <x:v>N</x:v>
      </x:c>
      <x:c r="J188" s="20" t="n">
        <x:v>45832.419444444444</x:v>
      </x:c>
    </x:row>
    <x:row r="189">
      <x:c r="A189" s="17" t="str">
        <x:v>APP2025000185</x:v>
      </x:c>
      <x:c r="B189" s="20" t="n">
        <x:v>45736.334027777775</x:v>
      </x:c>
      <x:c r="C189" s="26" t="n">
        <x:v>680</x:v>
      </x:c>
      <x:c r="D189" s="29" t="n">
        <x:v>0.347</x:v>
      </x:c>
      <x:c r="E189" s="26" t="n">
        <x:v>4</x:v>
      </x:c>
      <x:c r="F189" s="26" t="n">
        <x:v>0</x:v>
      </x:c>
      <x:c r="G189" s="26" t="n">
        <x:v>0</x:v>
      </x:c>
      <x:c r="H189" s="26" t="n">
        <x:v>11</x:v>
      </x:c>
      <x:c r="I189" s="17" t="str">
        <x:v>N</x:v>
      </x:c>
      <x:c r="J189" s="20" t="n">
        <x:v>45736.33541666667</x:v>
      </x:c>
    </x:row>
    <x:row r="190">
      <x:c r="A190" s="17" t="str">
        <x:v>APP2025000186</x:v>
      </x:c>
      <x:c r="B190" s="20" t="n">
        <x:v>45752.33541666667</x:v>
      </x:c>
      <x:c r="C190" s="26" t="n">
        <x:v>636</x:v>
      </x:c>
      <x:c r="D190" s="29" t="n">
        <x:v>0.656</x:v>
      </x:c>
      <x:c r="E190" s="26" t="n">
        <x:v>0</x:v>
      </x:c>
      <x:c r="F190" s="26" t="n">
        <x:v>1</x:v>
      </x:c>
      <x:c r="G190" s="26" t="n">
        <x:v>14</x:v>
      </x:c>
      <x:c r="H190" s="26" t="n">
        <x:v>3</x:v>
      </x:c>
      <x:c r="I190" s="17" t="str">
        <x:v>N</x:v>
      </x:c>
      <x:c r="J190" s="20" t="n">
        <x:v>45752.336805555555</x:v>
      </x:c>
    </x:row>
    <x:row r="191">
      <x:c r="A191" s="17" t="str">
        <x:v>APP2025000187</x:v>
      </x:c>
      <x:c r="B191" s="20" t="n">
        <x:v>45682.50208333333</x:v>
      </x:c>
      <x:c r="C191" s="26" t="n">
        <x:v>629</x:v>
      </x:c>
      <x:c r="D191" s="29" t="n">
        <x:v>0.569</x:v>
      </x:c>
      <x:c r="E191" s="26" t="n">
        <x:v>4</x:v>
      </x:c>
      <x:c r="F191" s="26" t="n">
        <x:v>0</x:v>
      </x:c>
      <x:c r="G191" s="26" t="n">
        <x:v>0</x:v>
      </x:c>
      <x:c r="H191" s="26" t="n">
        <x:v>10</x:v>
      </x:c>
      <x:c r="I191" s="17" t="str">
        <x:v>N</x:v>
      </x:c>
      <x:c r="J191" s="20" t="n">
        <x:v>45682.50347222222</x:v>
      </x:c>
    </x:row>
    <x:row r="192">
      <x:c r="A192" s="17" t="str">
        <x:v>APP2025000188</x:v>
      </x:c>
      <x:c r="B192" s="20" t="n">
        <x:v>45832.60555555556</x:v>
      </x:c>
      <x:c r="C192" s="26" t="n">
        <x:v>454</x:v>
      </x:c>
      <x:c r="D192" s="29" t="n">
        <x:v>0.64</x:v>
      </x:c>
      <x:c r="E192" s="26" t="n">
        <x:v>3</x:v>
      </x:c>
      <x:c r="F192" s="26" t="n">
        <x:v>4</x:v>
      </x:c>
      <x:c r="G192" s="26" t="n">
        <x:v>17</x:v>
      </x:c>
      <x:c r="H192" s="26" t="n">
        <x:v>3</x:v>
      </x:c>
      <x:c r="I192" s="17" t="str">
        <x:v>N</x:v>
      </x:c>
      <x:c r="J192" s="20" t="n">
        <x:v>45832.606944444444</x:v>
      </x:c>
    </x:row>
    <x:row r="193">
      <x:c r="A193" s="17" t="str">
        <x:v>APP2025000189</x:v>
      </x:c>
      <x:c r="B193" s="20" t="n">
        <x:v>45697.46041666667</x:v>
      </x:c>
      <x:c r="C193" s="26" t="n">
        <x:v>605</x:v>
      </x:c>
      <x:c r="D193" s="29" t="n">
        <x:v>0.977</x:v>
      </x:c>
      <x:c r="E193" s="26" t="n">
        <x:v>4</x:v>
      </x:c>
      <x:c r="F193" s="26" t="n">
        <x:v>2</x:v>
      </x:c>
      <x:c r="G193" s="26" t="n">
        <x:v>10</x:v>
      </x:c>
      <x:c r="H193" s="26" t="n">
        <x:v>3</x:v>
      </x:c>
      <x:c r="I193" s="17" t="str">
        <x:v>N</x:v>
      </x:c>
      <x:c r="J193" s="20" t="n">
        <x:v>45697.461805555555</x:v>
      </x:c>
    </x:row>
    <x:row r="194">
      <x:c r="A194" s="17" t="str">
        <x:v>APP2025000190</x:v>
      </x:c>
      <x:c r="B194" s="20" t="n">
        <x:v>45799.71875</x:v>
      </x:c>
      <x:c r="C194" s="26" t="n">
        <x:v>611</x:v>
      </x:c>
      <x:c r="D194" s="29" t="n">
        <x:v>0.924</x:v>
      </x:c>
      <x:c r="E194" s="26" t="n">
        <x:v>3</x:v>
      </x:c>
      <x:c r="F194" s="26" t="n">
        <x:v>1</x:v>
      </x:c>
      <x:c r="G194" s="26" t="n">
        <x:v>16</x:v>
      </x:c>
      <x:c r="H194" s="26" t="n">
        <x:v>11</x:v>
      </x:c>
      <x:c r="I194" s="17" t="str">
        <x:v>N</x:v>
      </x:c>
      <x:c r="J194" s="20" t="n">
        <x:v>45799.720138888886</x:v>
      </x:c>
    </x:row>
    <x:row r="195">
      <x:c r="A195" s="17" t="str">
        <x:v>APP2025000191</x:v>
      </x:c>
      <x:c r="B195" s="20" t="n">
        <x:v>45776.58472222222</x:v>
      </x:c>
      <x:c r="C195" s="26" t="n">
        <x:v>580</x:v>
      </x:c>
      <x:c r="D195" s="29" t="n">
        <x:v>0.839</x:v>
      </x:c>
      <x:c r="E195" s="26" t="n">
        <x:v>3</x:v>
      </x:c>
      <x:c r="F195" s="26" t="n">
        <x:v>1</x:v>
      </x:c>
      <x:c r="G195" s="26" t="n">
        <x:v>18</x:v>
      </x:c>
      <x:c r="H195" s="26" t="n">
        <x:v>11</x:v>
      </x:c>
      <x:c r="I195" s="17" t="str">
        <x:v>N</x:v>
      </x:c>
      <x:c r="J195" s="20" t="n">
        <x:v>45776.58611111111</x:v>
      </x:c>
    </x:row>
    <x:row r="196">
      <x:c r="A196" s="17" t="str">
        <x:v>APP2025000192</x:v>
      </x:c>
      <x:c r="B196" s="20" t="n">
        <x:v>45662.686111111114</x:v>
      </x:c>
      <x:c r="C196" s="26" t="n">
        <x:v>643</x:v>
      </x:c>
      <x:c r="D196" s="29" t="n">
        <x:v>0.849</x:v>
      </x:c>
      <x:c r="E196" s="26" t="n">
        <x:v>1</x:v>
      </x:c>
      <x:c r="F196" s="26" t="n">
        <x:v>1</x:v>
      </x:c>
      <x:c r="G196" s="26" t="n">
        <x:v>17</x:v>
      </x:c>
      <x:c r="H196" s="26" t="n">
        <x:v>0</x:v>
      </x:c>
      <x:c r="I196" s="17" t="str">
        <x:v>N</x:v>
      </x:c>
      <x:c r="J196" s="20" t="n">
        <x:v>45662.6875</x:v>
      </x:c>
    </x:row>
    <x:row r="197">
      <x:c r="A197" s="17" t="str">
        <x:v>APP2025000193</x:v>
      </x:c>
      <x:c r="B197" s="20" t="n">
        <x:v>45764.455555555556</x:v>
      </x:c>
      <x:c r="C197" s="26" t="n">
        <x:v>681</x:v>
      </x:c>
      <x:c r="D197" s="29" t="n">
        <x:v>0.45</x:v>
      </x:c>
      <x:c r="E197" s="26" t="n">
        <x:v>3</x:v>
      </x:c>
      <x:c r="F197" s="26" t="n">
        <x:v>0</x:v>
      </x:c>
      <x:c r="G197" s="26" t="n">
        <x:v>0</x:v>
      </x:c>
      <x:c r="H197" s="26" t="n">
        <x:v>4</x:v>
      </x:c>
      <x:c r="I197" s="17" t="str">
        <x:v>N</x:v>
      </x:c>
      <x:c r="J197" s="20" t="n">
        <x:v>45764.45694444444</x:v>
      </x:c>
    </x:row>
    <x:row r="198">
      <x:c r="A198" s="17" t="str">
        <x:v>APP2025000194</x:v>
      </x:c>
      <x:c r="B198" s="20" t="n">
        <x:v>45683.41875</x:v>
      </x:c>
      <x:c r="C198" s="26" t="n">
        <x:v>591</x:v>
      </x:c>
      <x:c r="D198" s="29" t="n">
        <x:v>0.181</x:v>
      </x:c>
      <x:c r="E198" s="26" t="n">
        <x:v>1</x:v>
      </x:c>
      <x:c r="F198" s="26" t="n">
        <x:v>2</x:v>
      </x:c>
      <x:c r="G198" s="26" t="n">
        <x:v>38</x:v>
      </x:c>
      <x:c r="H198" s="26" t="n">
        <x:v>6</x:v>
      </x:c>
      <x:c r="I198" s="17" t="str">
        <x:v>Y</x:v>
      </x:c>
      <x:c r="J198" s="20" t="n">
        <x:v>45683.42013888889</x:v>
      </x:c>
    </x:row>
    <x:row r="199">
      <x:c r="A199" s="17" t="str">
        <x:v>APP2025000195</x:v>
      </x:c>
      <x:c r="B199" s="20" t="n">
        <x:v>45676.572222222225</x:v>
      </x:c>
      <x:c r="C199" s="26" t="n">
        <x:v>636</x:v>
      </x:c>
      <x:c r="D199" s="29" t="n">
        <x:v>0.593</x:v>
      </x:c>
      <x:c r="E199" s="26" t="n">
        <x:v>0</x:v>
      </x:c>
      <x:c r="F199" s="26" t="n">
        <x:v>0</x:v>
      </x:c>
      <x:c r="G199" s="26" t="n">
        <x:v>0</x:v>
      </x:c>
      <x:c r="H199" s="26" t="n">
        <x:v>4</x:v>
      </x:c>
      <x:c r="I199" s="17" t="str">
        <x:v>N</x:v>
      </x:c>
      <x:c r="J199" s="20" t="n">
        <x:v>45676.57361111111</x:v>
      </x:c>
    </x:row>
    <x:row r="200">
      <x:c r="A200" s="17" t="str">
        <x:v>APP2025000196</x:v>
      </x:c>
      <x:c r="B200" s="20" t="n">
        <x:v>45733.44027777778</x:v>
      </x:c>
      <x:c r="C200" s="26" t="n">
        <x:v>573</x:v>
      </x:c>
      <x:c r="D200" s="29" t="n">
        <x:v>0.625</x:v>
      </x:c>
      <x:c r="E200" s="26" t="n">
        <x:v>4</x:v>
      </x:c>
      <x:c r="F200" s="26" t="n">
        <x:v>1</x:v>
      </x:c>
      <x:c r="G200" s="26" t="n">
        <x:v>36</x:v>
      </x:c>
      <x:c r="H200" s="26" t="n">
        <x:v>5</x:v>
      </x:c>
      <x:c r="I200" s="17" t="str">
        <x:v>N</x:v>
      </x:c>
      <x:c r="J200" s="20" t="n">
        <x:v>45733.441666666666</x:v>
      </x:c>
    </x:row>
    <x:row r="201">
      <x:c r="A201" s="17" t="str">
        <x:v>APP2025000197</x:v>
      </x:c>
      <x:c r="B201" s="20" t="n">
        <x:v>45811.70972222222</x:v>
      </x:c>
      <x:c r="C201" s="26" t="n">
        <x:v>667</x:v>
      </x:c>
      <x:c r="D201" s="29" t="n">
        <x:v>0.962</x:v>
      </x:c>
      <x:c r="E201" s="26" t="n">
        <x:v>1</x:v>
      </x:c>
      <x:c r="F201" s="26" t="n">
        <x:v>0</x:v>
      </x:c>
      <x:c r="G201" s="26" t="n">
        <x:v>0</x:v>
      </x:c>
      <x:c r="H201" s="26" t="n">
        <x:v>8</x:v>
      </x:c>
      <x:c r="I201" s="17" t="str">
        <x:v>N</x:v>
      </x:c>
      <x:c r="J201" s="20" t="n">
        <x:v>45811.71111111111</x:v>
      </x:c>
    </x:row>
    <x:row r="202">
      <x:c r="A202" s="17" t="str">
        <x:v>APP2025000198</x:v>
      </x:c>
      <x:c r="B202" s="20" t="n">
        <x:v>45774.388194444444</x:v>
      </x:c>
      <x:c r="C202" s="26" t="n">
        <x:v>700</x:v>
      </x:c>
      <x:c r="D202" s="29" t="n">
        <x:v>0.449</x:v>
      </x:c>
      <x:c r="E202" s="26" t="n">
        <x:v>0</x:v>
      </x:c>
      <x:c r="F202" s="26" t="n">
        <x:v>0</x:v>
      </x:c>
      <x:c r="G202" s="26" t="n">
        <x:v>0</x:v>
      </x:c>
      <x:c r="H202" s="26" t="n">
        <x:v>6</x:v>
      </x:c>
      <x:c r="I202" s="17" t="str">
        <x:v>N</x:v>
      </x:c>
      <x:c r="J202" s="20" t="n">
        <x:v>45774.38958333333</x:v>
      </x:c>
    </x:row>
    <x:row r="203">
      <x:c r="A203" s="17" t="str">
        <x:v>APP2025000199</x:v>
      </x:c>
      <x:c r="B203" s="20" t="n">
        <x:v>45810.654861111114</x:v>
      </x:c>
      <x:c r="C203" s="26" t="n">
        <x:v>625</x:v>
      </x:c>
      <x:c r="D203" s="29" t="n">
        <x:v>0.57</x:v>
      </x:c>
      <x:c r="E203" s="26" t="n">
        <x:v>2</x:v>
      </x:c>
      <x:c r="F203" s="26" t="n">
        <x:v>0</x:v>
      </x:c>
      <x:c r="G203" s="26" t="n">
        <x:v>0</x:v>
      </x:c>
      <x:c r="H203" s="26" t="n">
        <x:v>4</x:v>
      </x:c>
      <x:c r="I203" s="17" t="str">
        <x:v>N</x:v>
      </x:c>
      <x:c r="J203" s="20" t="n">
        <x:v>45810.65625</x:v>
      </x:c>
    </x:row>
    <x:row r="204">
      <x:c r="A204" s="18" t="str">
        <x:v>APP2025000200</x:v>
      </x:c>
      <x:c r="B204" s="21" t="n">
        <x:v>45782.39791666667</x:v>
      </x:c>
      <x:c r="C204" s="27" t="n">
        <x:v>703</x:v>
      </x:c>
      <x:c r="D204" s="30" t="n">
        <x:v>0.537</x:v>
      </x:c>
      <x:c r="E204" s="27" t="n">
        <x:v>3</x:v>
      </x:c>
      <x:c r="F204" s="27" t="n">
        <x:v>0</x:v>
      </x:c>
      <x:c r="G204" s="27" t="n">
        <x:v>0</x:v>
      </x:c>
      <x:c r="H204" s="27" t="n">
        <x:v>0</x:v>
      </x:c>
      <x:c r="I204" s="18" t="str">
        <x:v>N</x:v>
      </x:c>
      <x:c r="J204" s="21" t="n">
        <x:v>45782.399305555555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14" hidden="0" customWidth="1"/>
    <x:col min="5" max="5" width="14" hidden="0" customWidth="1"/>
    <x:col min="6" max="6" width="42" hidden="0" customWidth="1"/>
    <x:col min="7" max="7" width="18" hidden="0" customWidth="1"/>
  </x:cols>
  <x:sheetData>
    <x:row r="1" ht="30" customHeight="1">
      <x:c r="A1" s="3" t="str">
        <x:v>03｜历史决策日志</x:v>
      </x:c>
      <x:c r="B1" s="3"/>
      <x:c r="C1" s="3"/>
      <x:c r="D1" s="3"/>
      <x:c r="E1" s="3"/>
      <x:c r="F1" s="3"/>
      <x:c r="G1" s="3"/>
    </x:row>
    <x:row r="2" ht="32" customHeight="1">
      <x:c r="A2" s="7" t="str">
        <x:v>来源：决策引擎。记录原策略版本、决策结果和首要命中规则，用于复现历史策略。</x:v>
      </x:c>
      <x:c r="B2" s="7"/>
      <x:c r="C2" s="7"/>
      <x:c r="D2" s="7"/>
      <x:c r="E2" s="7"/>
      <x:c r="F2" s="7"/>
      <x:c r="G2" s="7"/>
    </x:row>
    <x:row r="4" ht="30" customHeight="1">
      <x:c r="A4" s="11" t="str">
        <x:v>application_id</x:v>
      </x:c>
      <x:c r="B4" s="11" t="str">
        <x:v>decision_time</x:v>
      </x:c>
      <x:c r="C4" s="11" t="str">
        <x:v>strategy_version</x:v>
      </x:c>
      <x:c r="D4" s="11" t="str">
        <x:v>old_decision</x:v>
      </x:c>
      <x:c r="E4" s="11" t="str">
        <x:v>hit_rule_id</x:v>
      </x:c>
      <x:c r="F4" s="11" t="str">
        <x:v>decision_reason</x:v>
      </x:c>
      <x:c r="G4" s="11" t="str">
        <x:v>engine_request_id</x:v>
      </x:c>
    </x:row>
    <x:row r="5">
      <x:c r="A5" s="16" t="str">
        <x:v>APP2025000001</x:v>
      </x:c>
      <x:c r="B5" s="19" t="n">
        <x:v>45801.52569444444</x:v>
      </x:c>
      <x:c r="C5" s="16" t="str">
        <x:v>v1.6</x:v>
      </x:c>
      <x:c r="D5" s="16" t="str">
        <x:v>PASS</x:v>
      </x:c>
      <x:c r="E5" s="16" t="str">
        <x:v>DEFAULT</x:v>
      </x:c>
      <x:c r="F5" s="16" t="str">
        <x:v>未命中拒绝或人工审核规则</x:v>
      </x:c>
      <x:c r="G5" s="16" t="str">
        <x:v>REQ_00900000</x:v>
      </x:c>
    </x:row>
    <x:row r="6">
      <x:c r="A6" s="17" t="str">
        <x:v>APP2025000002</x:v>
      </x:c>
      <x:c r="B6" s="20" t="n">
        <x:v>45751.525</x:v>
      </x:c>
      <x:c r="C6" s="17" t="str">
        <x:v>v1.6</x:v>
      </x:c>
      <x:c r="D6" s="17" t="str">
        <x:v>PASS</x:v>
      </x:c>
      <x:c r="E6" s="17" t="str">
        <x:v>DEFAULT</x:v>
      </x:c>
      <x:c r="F6" s="17" t="str">
        <x:v>未命中拒绝或人工审核规则</x:v>
      </x:c>
      <x:c r="G6" s="17" t="str">
        <x:v>REQ_00900001</x:v>
      </x:c>
    </x:row>
    <x:row r="7">
      <x:c r="A7" s="17" t="str">
        <x:v>APP2025000003</x:v>
      </x:c>
      <x:c r="B7" s="20" t="n">
        <x:v>45722.54236111111</x:v>
      </x:c>
      <x:c r="C7" s="17" t="str">
        <x:v>v1.6</x:v>
      </x:c>
      <x:c r="D7" s="17" t="str">
        <x:v>REVIEW</x:v>
      </x:c>
      <x:c r="E7" s="17" t="str">
        <x:v>R002</x:v>
      </x:c>
      <x:c r="F7" s="17" t="str">
        <x:v>负债收入比 98.5% 超过80%</x:v>
      </x:c>
      <x:c r="G7" s="17" t="str">
        <x:v>REQ_00900002</x:v>
      </x:c>
    </x:row>
    <x:row r="8">
      <x:c r="A8" s="17" t="str">
        <x:v>APP2025000004</x:v>
      </x:c>
      <x:c r="B8" s="20" t="n">
        <x:v>45737.385416666664</x:v>
      </x:c>
      <x:c r="C8" s="17" t="str">
        <x:v>v1.6</x:v>
      </x:c>
      <x:c r="D8" s="17" t="str">
        <x:v>REVIEW</x:v>
      </x:c>
      <x:c r="E8" s="17" t="str">
        <x:v>R004</x:v>
      </x:c>
      <x:c r="F8" s="17" t="str">
        <x:v>信用评分 553 进入人工复核区间</x:v>
      </x:c>
      <x:c r="G8" s="17" t="str">
        <x:v>REQ_00900003</x:v>
      </x:c>
    </x:row>
    <x:row r="9">
      <x:c r="A9" s="17" t="str">
        <x:v>APP2025000005</x:v>
      </x:c>
      <x:c r="B9" s="20" t="n">
        <x:v>45818.41736111111</x:v>
      </x:c>
      <x:c r="C9" s="17" t="str">
        <x:v>v1.6</x:v>
      </x:c>
      <x:c r="D9" s="17" t="str">
        <x:v>PASS</x:v>
      </x:c>
      <x:c r="E9" s="17" t="str">
        <x:v>DEFAULT</x:v>
      </x:c>
      <x:c r="F9" s="17" t="str">
        <x:v>未命中拒绝或人工审核规则</x:v>
      </x:c>
      <x:c r="G9" s="17" t="str">
        <x:v>REQ_00900004</x:v>
      </x:c>
    </x:row>
    <x:row r="10">
      <x:c r="A10" s="17" t="str">
        <x:v>APP2025000006</x:v>
      </x:c>
      <x:c r="B10" s="20" t="n">
        <x:v>45778.50763888889</x:v>
      </x:c>
      <x:c r="C10" s="17" t="str">
        <x:v>v1.6</x:v>
      </x:c>
      <x:c r="D10" s="17" t="str">
        <x:v>PASS</x:v>
      </x:c>
      <x:c r="E10" s="17" t="str">
        <x:v>DEFAULT</x:v>
      </x:c>
      <x:c r="F10" s="17" t="str">
        <x:v>未命中拒绝或人工审核规则</x:v>
      </x:c>
      <x:c r="G10" s="17" t="str">
        <x:v>REQ_00900005</x:v>
      </x:c>
    </x:row>
    <x:row r="11">
      <x:c r="A11" s="17" t="str">
        <x:v>APP2025000007</x:v>
      </x:c>
      <x:c r="B11" s="20" t="n">
        <x:v>45749.541666666664</x:v>
      </x:c>
      <x:c r="C11" s="17" t="str">
        <x:v>v1.6</x:v>
      </x:c>
      <x:c r="D11" s="17" t="str">
        <x:v>PASS</x:v>
      </x:c>
      <x:c r="E11" s="17" t="str">
        <x:v>DEFAULT</x:v>
      </x:c>
      <x:c r="F11" s="17" t="str">
        <x:v>未命中拒绝或人工审核规则</x:v>
      </x:c>
      <x:c r="G11" s="17" t="str">
        <x:v>REQ_00900006</x:v>
      </x:c>
    </x:row>
    <x:row r="12">
      <x:c r="A12" s="17" t="str">
        <x:v>APP2025000008</x:v>
      </x:c>
      <x:c r="B12" s="20" t="n">
        <x:v>45747.53055555555</x:v>
      </x:c>
      <x:c r="C12" s="17" t="str">
        <x:v>v1.6</x:v>
      </x:c>
      <x:c r="D12" s="17" t="str">
        <x:v>PASS</x:v>
      </x:c>
      <x:c r="E12" s="17" t="str">
        <x:v>DEFAULT</x:v>
      </x:c>
      <x:c r="F12" s="17" t="str">
        <x:v>未命中拒绝或人工审核规则</x:v>
      </x:c>
      <x:c r="G12" s="17" t="str">
        <x:v>REQ_00900007</x:v>
      </x:c>
    </x:row>
    <x:row r="13">
      <x:c r="A13" s="17" t="str">
        <x:v>APP2025000009</x:v>
      </x:c>
      <x:c r="B13" s="20" t="n">
        <x:v>45754.489583333336</x:v>
      </x:c>
      <x:c r="C13" s="17" t="str">
        <x:v>v1.6</x:v>
      </x:c>
      <x:c r="D13" s="17" t="str">
        <x:v>PASS</x:v>
      </x:c>
      <x:c r="E13" s="17" t="str">
        <x:v>DEFAULT</x:v>
      </x:c>
      <x:c r="F13" s="17" t="str">
        <x:v>未命中拒绝或人工审核规则</x:v>
      </x:c>
      <x:c r="G13" s="17" t="str">
        <x:v>REQ_00900008</x:v>
      </x:c>
    </x:row>
    <x:row r="14">
      <x:c r="A14" s="17" t="str">
        <x:v>APP2025000010</x:v>
      </x:c>
      <x:c r="B14" s="20" t="n">
        <x:v>45675.65277777778</x:v>
      </x:c>
      <x:c r="C14" s="17" t="str">
        <x:v>v1.6</x:v>
      </x:c>
      <x:c r="D14" s="17" t="str">
        <x:v>PASS</x:v>
      </x:c>
      <x:c r="E14" s="17" t="str">
        <x:v>DEFAULT</x:v>
      </x:c>
      <x:c r="F14" s="17" t="str">
        <x:v>未命中拒绝或人工审核规则</x:v>
      </x:c>
      <x:c r="G14" s="17" t="str">
        <x:v>REQ_00900009</x:v>
      </x:c>
    </x:row>
    <x:row r="15">
      <x:c r="A15" s="17" t="str">
        <x:v>APP2025000011</x:v>
      </x:c>
      <x:c r="B15" s="20" t="n">
        <x:v>45746.544444444444</x:v>
      </x:c>
      <x:c r="C15" s="17" t="str">
        <x:v>v1.6</x:v>
      </x:c>
      <x:c r="D15" s="17" t="str">
        <x:v>PASS</x:v>
      </x:c>
      <x:c r="E15" s="17" t="str">
        <x:v>DEFAULT</x:v>
      </x:c>
      <x:c r="F15" s="17" t="str">
        <x:v>未命中拒绝或人工审核规则</x:v>
      </x:c>
      <x:c r="G15" s="17" t="str">
        <x:v>REQ_00900010</x:v>
      </x:c>
    </x:row>
    <x:row r="16">
      <x:c r="A16" s="17" t="str">
        <x:v>APP2025000012</x:v>
      </x:c>
      <x:c r="B16" s="20" t="n">
        <x:v>45752.64166666667</x:v>
      </x:c>
      <x:c r="C16" s="17" t="str">
        <x:v>v1.6</x:v>
      </x:c>
      <x:c r="D16" s="17" t="str">
        <x:v>PASS</x:v>
      </x:c>
      <x:c r="E16" s="17" t="str">
        <x:v>DEFAULT</x:v>
      </x:c>
      <x:c r="F16" s="17" t="str">
        <x:v>未命中拒绝或人工审核规则</x:v>
      </x:c>
      <x:c r="G16" s="17" t="str">
        <x:v>REQ_00900011</x:v>
      </x:c>
    </x:row>
    <x:row r="17">
      <x:c r="A17" s="17" t="str">
        <x:v>APP2025000013</x:v>
      </x:c>
      <x:c r="B17" s="20" t="n">
        <x:v>45824.62013888889</x:v>
      </x:c>
      <x:c r="C17" s="17" t="str">
        <x:v>v1.6</x:v>
      </x:c>
      <x:c r="D17" s="17" t="str">
        <x:v>PASS</x:v>
      </x:c>
      <x:c r="E17" s="17" t="str">
        <x:v>DEFAULT</x:v>
      </x:c>
      <x:c r="F17" s="17" t="str">
        <x:v>未命中拒绝或人工审核规则</x:v>
      </x:c>
      <x:c r="G17" s="17" t="str">
        <x:v>REQ_00900012</x:v>
      </x:c>
    </x:row>
    <x:row r="18">
      <x:c r="A18" s="17" t="str">
        <x:v>APP2025000014</x:v>
      </x:c>
      <x:c r="B18" s="20" t="n">
        <x:v>45722.68125</x:v>
      </x:c>
      <x:c r="C18" s="17" t="str">
        <x:v>v1.6</x:v>
      </x:c>
      <x:c r="D18" s="17" t="str">
        <x:v>REJECT</x:v>
      </x:c>
      <x:c r="E18" s="17" t="str">
        <x:v>R001</x:v>
      </x:c>
      <x:c r="F18" s="17" t="str">
        <x:v>近12个月逾期 3 次，达到3次拒绝阈值</x:v>
      </x:c>
      <x:c r="G18" s="17" t="str">
        <x:v>REQ_00900013</x:v>
      </x:c>
    </x:row>
    <x:row r="19">
      <x:c r="A19" s="17" t="str">
        <x:v>APP2025000015</x:v>
      </x:c>
      <x:c r="B19" s="20" t="n">
        <x:v>45737.55902777778</x:v>
      </x:c>
      <x:c r="C19" s="17" t="str">
        <x:v>v1.6</x:v>
      </x:c>
      <x:c r="D19" s="17" t="str">
        <x:v>REVIEW</x:v>
      </x:c>
      <x:c r="E19" s="17" t="str">
        <x:v>R004</x:v>
      </x:c>
      <x:c r="F19" s="17" t="str">
        <x:v>信用评分 537 进入人工复核区间</x:v>
      </x:c>
      <x:c r="G19" s="17" t="str">
        <x:v>REQ_00900014</x:v>
      </x:c>
    </x:row>
    <x:row r="20">
      <x:c r="A20" s="17" t="str">
        <x:v>APP2025000016</x:v>
      </x:c>
      <x:c r="B20" s="20" t="n">
        <x:v>45789.584027777775</x:v>
      </x:c>
      <x:c r="C20" s="17" t="str">
        <x:v>v1.6</x:v>
      </x:c>
      <x:c r="D20" s="17" t="str">
        <x:v>PASS</x:v>
      </x:c>
      <x:c r="E20" s="17" t="str">
        <x:v>DEFAULT</x:v>
      </x:c>
      <x:c r="F20" s="17" t="str">
        <x:v>未命中拒绝或人工审核规则</x:v>
      </x:c>
      <x:c r="G20" s="17" t="str">
        <x:v>REQ_00900015</x:v>
      </x:c>
    </x:row>
    <x:row r="21">
      <x:c r="A21" s="17" t="str">
        <x:v>APP2025000017</x:v>
      </x:c>
      <x:c r="B21" s="20" t="n">
        <x:v>45738.41736111111</x:v>
      </x:c>
      <x:c r="C21" s="17" t="str">
        <x:v>v1.6</x:v>
      </x:c>
      <x:c r="D21" s="17" t="str">
        <x:v>REVIEW</x:v>
      </x:c>
      <x:c r="E21" s="17" t="str">
        <x:v>R002</x:v>
      </x:c>
      <x:c r="F21" s="17" t="str">
        <x:v>负债收入比 88.5% 超过80%</x:v>
      </x:c>
      <x:c r="G21" s="17" t="str">
        <x:v>REQ_00900016</x:v>
      </x:c>
    </x:row>
    <x:row r="22">
      <x:c r="A22" s="17" t="str">
        <x:v>APP2025000018</x:v>
      </x:c>
      <x:c r="B22" s="20" t="n">
        <x:v>45704.413194444445</x:v>
      </x:c>
      <x:c r="C22" s="17" t="str">
        <x:v>v1.6</x:v>
      </x:c>
      <x:c r="D22" s="17" t="str">
        <x:v>PASS</x:v>
      </x:c>
      <x:c r="E22" s="17" t="str">
        <x:v>DEFAULT</x:v>
      </x:c>
      <x:c r="F22" s="17" t="str">
        <x:v>未命中拒绝或人工审核规则</x:v>
      </x:c>
      <x:c r="G22" s="17" t="str">
        <x:v>REQ_00900017</x:v>
      </x:c>
    </x:row>
    <x:row r="23">
      <x:c r="A23" s="17" t="str">
        <x:v>APP2025000019</x:v>
      </x:c>
      <x:c r="B23" s="20" t="n">
        <x:v>45784.52013888889</x:v>
      </x:c>
      <x:c r="C23" s="17" t="str">
        <x:v>v1.6</x:v>
      </x:c>
      <x:c r="D23" s="17" t="str">
        <x:v>PASS</x:v>
      </x:c>
      <x:c r="E23" s="17" t="str">
        <x:v>DEFAULT</x:v>
      </x:c>
      <x:c r="F23" s="17" t="str">
        <x:v>未命中拒绝或人工审核规则</x:v>
      </x:c>
      <x:c r="G23" s="17" t="str">
        <x:v>REQ_00900018</x:v>
      </x:c>
    </x:row>
    <x:row r="24">
      <x:c r="A24" s="17" t="str">
        <x:v>APP2025000020</x:v>
      </x:c>
      <x:c r="B24" s="20" t="n">
        <x:v>45700.66805555556</x:v>
      </x:c>
      <x:c r="C24" s="17" t="str">
        <x:v>v1.6</x:v>
      </x:c>
      <x:c r="D24" s="17" t="str">
        <x:v>PASS</x:v>
      </x:c>
      <x:c r="E24" s="17" t="str">
        <x:v>DEFAULT</x:v>
      </x:c>
      <x:c r="F24" s="17" t="str">
        <x:v>未命中拒绝或人工审核规则</x:v>
      </x:c>
      <x:c r="G24" s="17" t="str">
        <x:v>REQ_00900019</x:v>
      </x:c>
    </x:row>
    <x:row r="25">
      <x:c r="A25" s="17" t="str">
        <x:v>APP2025000021</x:v>
      </x:c>
      <x:c r="B25" s="20" t="n">
        <x:v>45821.51944444444</x:v>
      </x:c>
      <x:c r="C25" s="17" t="str">
        <x:v>v1.6</x:v>
      </x:c>
      <x:c r="D25" s="17" t="str">
        <x:v>PASS</x:v>
      </x:c>
      <x:c r="E25" s="17" t="str">
        <x:v>DEFAULT</x:v>
      </x:c>
      <x:c r="F25" s="17" t="str">
        <x:v>未命中拒绝或人工审核规则</x:v>
      </x:c>
      <x:c r="G25" s="17" t="str">
        <x:v>REQ_00900020</x:v>
      </x:c>
    </x:row>
    <x:row r="26">
      <x:c r="A26" s="17" t="str">
        <x:v>APP2025000022</x:v>
      </x:c>
      <x:c r="B26" s="20" t="n">
        <x:v>45834.39027777778</x:v>
      </x:c>
      <x:c r="C26" s="17" t="str">
        <x:v>v1.6</x:v>
      </x:c>
      <x:c r="D26" s="17" t="str">
        <x:v>PASS</x:v>
      </x:c>
      <x:c r="E26" s="17" t="str">
        <x:v>DEFAULT</x:v>
      </x:c>
      <x:c r="F26" s="17" t="str">
        <x:v>未命中拒绝或人工审核规则</x:v>
      </x:c>
      <x:c r="G26" s="17" t="str">
        <x:v>REQ_00900021</x:v>
      </x:c>
    </x:row>
    <x:row r="27">
      <x:c r="A27" s="17" t="str">
        <x:v>APP2025000023</x:v>
      </x:c>
      <x:c r="B27" s="20" t="n">
        <x:v>45794.44652777778</x:v>
      </x:c>
      <x:c r="C27" s="17" t="str">
        <x:v>v1.6</x:v>
      </x:c>
      <x:c r="D27" s="17" t="str">
        <x:v>REJECT</x:v>
      </x:c>
      <x:c r="E27" s="17" t="str">
        <x:v>R001</x:v>
      </x:c>
      <x:c r="F27" s="17" t="str">
        <x:v>近12个月逾期 3 次，达到3次拒绝阈值</x:v>
      </x:c>
      <x:c r="G27" s="17" t="str">
        <x:v>REQ_00900022</x:v>
      </x:c>
    </x:row>
    <x:row r="28">
      <x:c r="A28" s="17" t="str">
        <x:v>APP2025000024</x:v>
      </x:c>
      <x:c r="B28" s="20" t="n">
        <x:v>45686.50486111111</x:v>
      </x:c>
      <x:c r="C28" s="17" t="str">
        <x:v>v1.6</x:v>
      </x:c>
      <x:c r="D28" s="17" t="str">
        <x:v>PASS</x:v>
      </x:c>
      <x:c r="E28" s="17" t="str">
        <x:v>DEFAULT</x:v>
      </x:c>
      <x:c r="F28" s="17" t="str">
        <x:v>未命中拒绝或人工审核规则</x:v>
      </x:c>
      <x:c r="G28" s="17" t="str">
        <x:v>REQ_00900023</x:v>
      </x:c>
    </x:row>
    <x:row r="29">
      <x:c r="A29" s="17" t="str">
        <x:v>APP2025000025</x:v>
      </x:c>
      <x:c r="B29" s="20" t="n">
        <x:v>45733.64861111111</x:v>
      </x:c>
      <x:c r="C29" s="17" t="str">
        <x:v>v1.6</x:v>
      </x:c>
      <x:c r="D29" s="17" t="str">
        <x:v>PASS</x:v>
      </x:c>
      <x:c r="E29" s="17" t="str">
        <x:v>DEFAULT</x:v>
      </x:c>
      <x:c r="F29" s="17" t="str">
        <x:v>未命中拒绝或人工审核规则</x:v>
      </x:c>
      <x:c r="G29" s="17" t="str">
        <x:v>REQ_00900024</x:v>
      </x:c>
    </x:row>
    <x:row r="30">
      <x:c r="A30" s="17" t="str">
        <x:v>APP2025000026</x:v>
      </x:c>
      <x:c r="B30" s="20" t="n">
        <x:v>45815.4625</x:v>
      </x:c>
      <x:c r="C30" s="17" t="str">
        <x:v>v1.6</x:v>
      </x:c>
      <x:c r="D30" s="17" t="str">
        <x:v>PASS</x:v>
      </x:c>
      <x:c r="E30" s="17" t="str">
        <x:v>DEFAULT</x:v>
      </x:c>
      <x:c r="F30" s="17" t="str">
        <x:v>未命中拒绝或人工审核规则</x:v>
      </x:c>
      <x:c r="G30" s="17" t="str">
        <x:v>REQ_00900025</x:v>
      </x:c>
    </x:row>
    <x:row r="31">
      <x:c r="A31" s="17" t="str">
        <x:v>APP2025000027</x:v>
      </x:c>
      <x:c r="B31" s="20" t="n">
        <x:v>45674.53333333333</x:v>
      </x:c>
      <x:c r="C31" s="17" t="str">
        <x:v>v1.6</x:v>
      </x:c>
      <x:c r="D31" s="17" t="str">
        <x:v>PASS</x:v>
      </x:c>
      <x:c r="E31" s="17" t="str">
        <x:v>DEFAULT</x:v>
      </x:c>
      <x:c r="F31" s="17" t="str">
        <x:v>未命中拒绝或人工审核规则</x:v>
      </x:c>
      <x:c r="G31" s="17" t="str">
        <x:v>REQ_00900026</x:v>
      </x:c>
    </x:row>
    <x:row r="32">
      <x:c r="A32" s="17" t="str">
        <x:v>APP2025000028</x:v>
      </x:c>
      <x:c r="B32" s="20" t="n">
        <x:v>45666.525</x:v>
      </x:c>
      <x:c r="C32" s="17" t="str">
        <x:v>v1.6</x:v>
      </x:c>
      <x:c r="D32" s="17" t="str">
        <x:v>REJECT</x:v>
      </x:c>
      <x:c r="E32" s="17" t="str">
        <x:v>R001</x:v>
      </x:c>
      <x:c r="F32" s="17" t="str">
        <x:v>近12个月逾期 3 次，达到3次拒绝阈值</x:v>
      </x:c>
      <x:c r="G32" s="17" t="str">
        <x:v>REQ_00900027</x:v>
      </x:c>
    </x:row>
    <x:row r="33">
      <x:c r="A33" s="17" t="str">
        <x:v>APP2025000029</x:v>
      </x:c>
      <x:c r="B33" s="20" t="n">
        <x:v>45713.513194444444</x:v>
      </x:c>
      <x:c r="C33" s="17" t="str">
        <x:v>v1.6</x:v>
      </x:c>
      <x:c r="D33" s="17" t="str">
        <x:v>REVIEW</x:v>
      </x:c>
      <x:c r="E33" s="17" t="str">
        <x:v>R002</x:v>
      </x:c>
      <x:c r="F33" s="17" t="str">
        <x:v>负债收入比 84.6% 超过80%</x:v>
      </x:c>
      <x:c r="G33" s="17" t="str">
        <x:v>REQ_00900028</x:v>
      </x:c>
    </x:row>
    <x:row r="34">
      <x:c r="A34" s="17" t="str">
        <x:v>APP2025000030</x:v>
      </x:c>
      <x:c r="B34" s="20" t="n">
        <x:v>45787.64513888889</x:v>
      </x:c>
      <x:c r="C34" s="17" t="str">
        <x:v>v1.6</x:v>
      </x:c>
      <x:c r="D34" s="17" t="str">
        <x:v>REVIEW</x:v>
      </x:c>
      <x:c r="E34" s="17" t="str">
        <x:v>R002</x:v>
      </x:c>
      <x:c r="F34" s="17" t="str">
        <x:v>负债收入比 80.3% 超过80%</x:v>
      </x:c>
      <x:c r="G34" s="17" t="str">
        <x:v>REQ_00900029</x:v>
      </x:c>
    </x:row>
    <x:row r="35">
      <x:c r="A35" s="17" t="str">
        <x:v>APP2025000031</x:v>
      </x:c>
      <x:c r="B35" s="20" t="n">
        <x:v>45730.73472222222</x:v>
      </x:c>
      <x:c r="C35" s="17" t="str">
        <x:v>v1.6</x:v>
      </x:c>
      <x:c r="D35" s="17" t="str">
        <x:v>REVIEW</x:v>
      </x:c>
      <x:c r="E35" s="17" t="str">
        <x:v>R004</x:v>
      </x:c>
      <x:c r="F35" s="17" t="str">
        <x:v>信用评分 558 进入人工复核区间</x:v>
      </x:c>
      <x:c r="G35" s="17" t="str">
        <x:v>REQ_00900030</x:v>
      </x:c>
    </x:row>
    <x:row r="36">
      <x:c r="A36" s="17" t="str">
        <x:v>APP2025000032</x:v>
      </x:c>
      <x:c r="B36" s="20" t="n">
        <x:v>45805.459027777775</x:v>
      </x:c>
      <x:c r="C36" s="17" t="str">
        <x:v>v1.6</x:v>
      </x:c>
      <x:c r="D36" s="17" t="str">
        <x:v>PASS</x:v>
      </x:c>
      <x:c r="E36" s="17" t="str">
        <x:v>DEFAULT</x:v>
      </x:c>
      <x:c r="F36" s="17" t="str">
        <x:v>未命中拒绝或人工审核规则</x:v>
      </x:c>
      <x:c r="G36" s="17" t="str">
        <x:v>REQ_00900031</x:v>
      </x:c>
    </x:row>
    <x:row r="37">
      <x:c r="A37" s="17" t="str">
        <x:v>APP2025000033</x:v>
      </x:c>
      <x:c r="B37" s="20" t="n">
        <x:v>45777.35</x:v>
      </x:c>
      <x:c r="C37" s="17" t="str">
        <x:v>v1.6</x:v>
      </x:c>
      <x:c r="D37" s="17" t="str">
        <x:v>PASS</x:v>
      </x:c>
      <x:c r="E37" s="17" t="str">
        <x:v>DEFAULT</x:v>
      </x:c>
      <x:c r="F37" s="17" t="str">
        <x:v>未命中拒绝或人工审核规则</x:v>
      </x:c>
      <x:c r="G37" s="17" t="str">
        <x:v>REQ_00900032</x:v>
      </x:c>
    </x:row>
    <x:row r="38">
      <x:c r="A38" s="17" t="str">
        <x:v>APP2025000034</x:v>
      </x:c>
      <x:c r="B38" s="20" t="n">
        <x:v>45720.63888888889</x:v>
      </x:c>
      <x:c r="C38" s="17" t="str">
        <x:v>v1.6</x:v>
      </x:c>
      <x:c r="D38" s="17" t="str">
        <x:v>PASS</x:v>
      </x:c>
      <x:c r="E38" s="17" t="str">
        <x:v>DEFAULT</x:v>
      </x:c>
      <x:c r="F38" s="17" t="str">
        <x:v>未命中拒绝或人工审核规则</x:v>
      </x:c>
      <x:c r="G38" s="17" t="str">
        <x:v>REQ_00900033</x:v>
      </x:c>
    </x:row>
    <x:row r="39">
      <x:c r="A39" s="17" t="str">
        <x:v>APP2025000035</x:v>
      </x:c>
      <x:c r="B39" s="20" t="n">
        <x:v>45757.64513888889</x:v>
      </x:c>
      <x:c r="C39" s="17" t="str">
        <x:v>v1.6</x:v>
      </x:c>
      <x:c r="D39" s="17" t="str">
        <x:v>PASS</x:v>
      </x:c>
      <x:c r="E39" s="17" t="str">
        <x:v>DEFAULT</x:v>
      </x:c>
      <x:c r="F39" s="17" t="str">
        <x:v>未命中拒绝或人工审核规则</x:v>
      </x:c>
      <x:c r="G39" s="17" t="str">
        <x:v>REQ_00900034</x:v>
      </x:c>
    </x:row>
    <x:row r="40">
      <x:c r="A40" s="17" t="str">
        <x:v>APP2025000036</x:v>
      </x:c>
      <x:c r="B40" s="20" t="n">
        <x:v>45698.39027777778</x:v>
      </x:c>
      <x:c r="C40" s="17" t="str">
        <x:v>v1.6</x:v>
      </x:c>
      <x:c r="D40" s="17" t="str">
        <x:v>REVIEW</x:v>
      </x:c>
      <x:c r="E40" s="17" t="str">
        <x:v>R002</x:v>
      </x:c>
      <x:c r="F40" s="17" t="str">
        <x:v>负债收入比 80.8% 超过80%</x:v>
      </x:c>
      <x:c r="G40" s="17" t="str">
        <x:v>REQ_00900035</x:v>
      </x:c>
    </x:row>
    <x:row r="41">
      <x:c r="A41" s="17" t="str">
        <x:v>APP2025000037</x:v>
      </x:c>
      <x:c r="B41" s="20" t="n">
        <x:v>45829.6875</x:v>
      </x:c>
      <x:c r="C41" s="17" t="str">
        <x:v>v1.6</x:v>
      </x:c>
      <x:c r="D41" s="17" t="str">
        <x:v>PASS</x:v>
      </x:c>
      <x:c r="E41" s="17" t="str">
        <x:v>DEFAULT</x:v>
      </x:c>
      <x:c r="F41" s="17" t="str">
        <x:v>未命中拒绝或人工审核规则</x:v>
      </x:c>
      <x:c r="G41" s="17" t="str">
        <x:v>REQ_00900036</x:v>
      </x:c>
    </x:row>
    <x:row r="42">
      <x:c r="A42" s="17" t="str">
        <x:v>APP2025000038</x:v>
      </x:c>
      <x:c r="B42" s="20" t="n">
        <x:v>45823.74652777778</x:v>
      </x:c>
      <x:c r="C42" s="17" t="str">
        <x:v>v1.6</x:v>
      </x:c>
      <x:c r="D42" s="17" t="str">
        <x:v>PASS</x:v>
      </x:c>
      <x:c r="E42" s="17" t="str">
        <x:v>DEFAULT</x:v>
      </x:c>
      <x:c r="F42" s="17" t="str">
        <x:v>未命中拒绝或人工审核规则</x:v>
      </x:c>
      <x:c r="G42" s="17" t="str">
        <x:v>REQ_00900037</x:v>
      </x:c>
    </x:row>
    <x:row r="43">
      <x:c r="A43" s="17" t="str">
        <x:v>APP2025000039</x:v>
      </x:c>
      <x:c r="B43" s="20" t="n">
        <x:v>45742.540972222225</x:v>
      </x:c>
      <x:c r="C43" s="17" t="str">
        <x:v>v1.6</x:v>
      </x:c>
      <x:c r="D43" s="17" t="str">
        <x:v>PASS</x:v>
      </x:c>
      <x:c r="E43" s="17" t="str">
        <x:v>DEFAULT</x:v>
      </x:c>
      <x:c r="F43" s="17" t="str">
        <x:v>未命中拒绝或人工审核规则</x:v>
      </x:c>
      <x:c r="G43" s="17" t="str">
        <x:v>REQ_00900038</x:v>
      </x:c>
    </x:row>
    <x:row r="44">
      <x:c r="A44" s="17" t="str">
        <x:v>APP2025000040</x:v>
      </x:c>
      <x:c r="B44" s="20" t="n">
        <x:v>45754.729166666664</x:v>
      </x:c>
      <x:c r="C44" s="17" t="str">
        <x:v>v1.6</x:v>
      </x:c>
      <x:c r="D44" s="17" t="str">
        <x:v>REVIEW</x:v>
      </x:c>
      <x:c r="E44" s="17" t="str">
        <x:v>R002</x:v>
      </x:c>
      <x:c r="F44" s="17" t="str">
        <x:v>负债收入比 82.5% 超过80%</x:v>
      </x:c>
      <x:c r="G44" s="17" t="str">
        <x:v>REQ_00900039</x:v>
      </x:c>
    </x:row>
    <x:row r="45">
      <x:c r="A45" s="17" t="str">
        <x:v>APP2025000041</x:v>
      </x:c>
      <x:c r="B45" s="20" t="n">
        <x:v>45779.38125</x:v>
      </x:c>
      <x:c r="C45" s="17" t="str">
        <x:v>v1.6</x:v>
      </x:c>
      <x:c r="D45" s="17" t="str">
        <x:v>PASS</x:v>
      </x:c>
      <x:c r="E45" s="17" t="str">
        <x:v>DEFAULT</x:v>
      </x:c>
      <x:c r="F45" s="17" t="str">
        <x:v>未命中拒绝或人工审核规则</x:v>
      </x:c>
      <x:c r="G45" s="17" t="str">
        <x:v>REQ_00900040</x:v>
      </x:c>
    </x:row>
    <x:row r="46">
      <x:c r="A46" s="17" t="str">
        <x:v>APP2025000042</x:v>
      </x:c>
      <x:c r="B46" s="20" t="n">
        <x:v>45757.69236111111</x:v>
      </x:c>
      <x:c r="C46" s="17" t="str">
        <x:v>v1.6</x:v>
      </x:c>
      <x:c r="D46" s="17" t="str">
        <x:v>PASS</x:v>
      </x:c>
      <x:c r="E46" s="17" t="str">
        <x:v>DEFAULT</x:v>
      </x:c>
      <x:c r="F46" s="17" t="str">
        <x:v>未命中拒绝或人工审核规则</x:v>
      </x:c>
      <x:c r="G46" s="17" t="str">
        <x:v>REQ_00900041</x:v>
      </x:c>
    </x:row>
    <x:row r="47">
      <x:c r="A47" s="17" t="str">
        <x:v>APP2025000043</x:v>
      </x:c>
      <x:c r="B47" s="20" t="n">
        <x:v>45817.7375</x:v>
      </x:c>
      <x:c r="C47" s="17" t="str">
        <x:v>v1.6</x:v>
      </x:c>
      <x:c r="D47" s="17" t="str">
        <x:v>PASS</x:v>
      </x:c>
      <x:c r="E47" s="17" t="str">
        <x:v>DEFAULT</x:v>
      </x:c>
      <x:c r="F47" s="17" t="str">
        <x:v>未命中拒绝或人工审核规则</x:v>
      </x:c>
      <x:c r="G47" s="17" t="str">
        <x:v>REQ_00900042</x:v>
      </x:c>
    </x:row>
    <x:row r="48">
      <x:c r="A48" s="17" t="str">
        <x:v>APP2025000044</x:v>
      </x:c>
      <x:c r="B48" s="20" t="n">
        <x:v>45703.46944444445</x:v>
      </x:c>
      <x:c r="C48" s="17" t="str">
        <x:v>v1.6</x:v>
      </x:c>
      <x:c r="D48" s="17" t="str">
        <x:v>PASS</x:v>
      </x:c>
      <x:c r="E48" s="17" t="str">
        <x:v>DEFAULT</x:v>
      </x:c>
      <x:c r="F48" s="17" t="str">
        <x:v>未命中拒绝或人工审核规则</x:v>
      </x:c>
      <x:c r="G48" s="17" t="str">
        <x:v>REQ_00900043</x:v>
      </x:c>
    </x:row>
    <x:row r="49">
      <x:c r="A49" s="17" t="str">
        <x:v>APP2025000045</x:v>
      </x:c>
      <x:c r="B49" s="20" t="n">
        <x:v>45693.44861111111</x:v>
      </x:c>
      <x:c r="C49" s="17" t="str">
        <x:v>v1.6</x:v>
      </x:c>
      <x:c r="D49" s="17" t="str">
        <x:v>PASS</x:v>
      </x:c>
      <x:c r="E49" s="17" t="str">
        <x:v>DEFAULT</x:v>
      </x:c>
      <x:c r="F49" s="17" t="str">
        <x:v>未命中拒绝或人工审核规则</x:v>
      </x:c>
      <x:c r="G49" s="17" t="str">
        <x:v>REQ_00900044</x:v>
      </x:c>
    </x:row>
    <x:row r="50">
      <x:c r="A50" s="17" t="str">
        <x:v>APP2025000046</x:v>
      </x:c>
      <x:c r="B50" s="20" t="n">
        <x:v>45792.575694444444</x:v>
      </x:c>
      <x:c r="C50" s="17" t="str">
        <x:v>v1.6</x:v>
      </x:c>
      <x:c r="D50" s="17" t="str">
        <x:v>REJECT</x:v>
      </x:c>
      <x:c r="E50" s="17" t="str">
        <x:v>R001</x:v>
      </x:c>
      <x:c r="F50" s="17" t="str">
        <x:v>近12个月逾期 4 次，达到3次拒绝阈值</x:v>
      </x:c>
      <x:c r="G50" s="17" t="str">
        <x:v>REQ_00900045</x:v>
      </x:c>
    </x:row>
    <x:row r="51">
      <x:c r="A51" s="17" t="str">
        <x:v>APP2025000047</x:v>
      </x:c>
      <x:c r="B51" s="20" t="n">
        <x:v>45794.63402777778</x:v>
      </x:c>
      <x:c r="C51" s="17" t="str">
        <x:v>v1.6</x:v>
      </x:c>
      <x:c r="D51" s="17" t="str">
        <x:v>PASS</x:v>
      </x:c>
      <x:c r="E51" s="17" t="str">
        <x:v>DEFAULT</x:v>
      </x:c>
      <x:c r="F51" s="17" t="str">
        <x:v>未命中拒绝或人工审核规则</x:v>
      </x:c>
      <x:c r="G51" s="17" t="str">
        <x:v>REQ_00900046</x:v>
      </x:c>
    </x:row>
    <x:row r="52">
      <x:c r="A52" s="17" t="str">
        <x:v>APP2025000048</x:v>
      </x:c>
      <x:c r="B52" s="20" t="n">
        <x:v>45836.42847222222</x:v>
      </x:c>
      <x:c r="C52" s="17" t="str">
        <x:v>v1.6</x:v>
      </x:c>
      <x:c r="D52" s="17" t="str">
        <x:v>REJECT</x:v>
      </x:c>
      <x:c r="E52" s="17" t="str">
        <x:v>R003</x:v>
      </x:c>
      <x:c r="F52" s="17" t="str">
        <x:v>信用评分 430 低于500</x:v>
      </x:c>
      <x:c r="G52" s="17" t="str">
        <x:v>REQ_00900047</x:v>
      </x:c>
    </x:row>
    <x:row r="53">
      <x:c r="A53" s="17" t="str">
        <x:v>APP2025000049</x:v>
      </x:c>
      <x:c r="B53" s="20" t="n">
        <x:v>45693.63888888889</x:v>
      </x:c>
      <x:c r="C53" s="17" t="str">
        <x:v>v1.6</x:v>
      </x:c>
      <x:c r="D53" s="17" t="str">
        <x:v>REVIEW</x:v>
      </x:c>
      <x:c r="E53" s="17" t="str">
        <x:v>R002</x:v>
      </x:c>
      <x:c r="F53" s="17" t="str">
        <x:v>负债收入比 87.9% 超过80%</x:v>
      </x:c>
      <x:c r="G53" s="17" t="str">
        <x:v>REQ_00900048</x:v>
      </x:c>
    </x:row>
    <x:row r="54">
      <x:c r="A54" s="17" t="str">
        <x:v>APP2025000050</x:v>
      </x:c>
      <x:c r="B54" s="20" t="n">
        <x:v>45700.53194444445</x:v>
      </x:c>
      <x:c r="C54" s="17" t="str">
        <x:v>v1.6</x:v>
      </x:c>
      <x:c r="D54" s="17" t="str">
        <x:v>PASS</x:v>
      </x:c>
      <x:c r="E54" s="17" t="str">
        <x:v>DEFAULT</x:v>
      </x:c>
      <x:c r="F54" s="17" t="str">
        <x:v>未命中拒绝或人工审核规则</x:v>
      </x:c>
      <x:c r="G54" s="17" t="str">
        <x:v>REQ_00900049</x:v>
      </x:c>
    </x:row>
    <x:row r="55">
      <x:c r="A55" s="17" t="str">
        <x:v>APP2025000051</x:v>
      </x:c>
      <x:c r="B55" s="20" t="n">
        <x:v>45836.49375</x:v>
      </x:c>
      <x:c r="C55" s="17" t="str">
        <x:v>v1.6</x:v>
      </x:c>
      <x:c r="D55" s="17" t="str">
        <x:v>REVIEW</x:v>
      </x:c>
      <x:c r="E55" s="17" t="str">
        <x:v>R002</x:v>
      </x:c>
      <x:c r="F55" s="17" t="str">
        <x:v>负债收入比 97.4% 超过80%</x:v>
      </x:c>
      <x:c r="G55" s="17" t="str">
        <x:v>REQ_00900050</x:v>
      </x:c>
    </x:row>
    <x:row r="56">
      <x:c r="A56" s="17" t="str">
        <x:v>APP2025000052</x:v>
      </x:c>
      <x:c r="B56" s="20" t="n">
        <x:v>45659.436111111114</x:v>
      </x:c>
      <x:c r="C56" s="17" t="str">
        <x:v>v1.6</x:v>
      </x:c>
      <x:c r="D56" s="17" t="str">
        <x:v>PASS</x:v>
      </x:c>
      <x:c r="E56" s="17" t="str">
        <x:v>DEFAULT</x:v>
      </x:c>
      <x:c r="F56" s="17" t="str">
        <x:v>未命中拒绝或人工审核规则</x:v>
      </x:c>
      <x:c r="G56" s="17" t="str">
        <x:v>REQ_00900051</x:v>
      </x:c>
    </x:row>
    <x:row r="57">
      <x:c r="A57" s="17" t="str">
        <x:v>APP2025000053</x:v>
      </x:c>
      <x:c r="B57" s="20" t="n">
        <x:v>45748.714583333334</x:v>
      </x:c>
      <x:c r="C57" s="17" t="str">
        <x:v>v1.6</x:v>
      </x:c>
      <x:c r="D57" s="17" t="str">
        <x:v>REVIEW</x:v>
      </x:c>
      <x:c r="E57" s="17" t="str">
        <x:v>R002</x:v>
      </x:c>
      <x:c r="F57" s="17" t="str">
        <x:v>负债收入比 88.9% 超过80%</x:v>
      </x:c>
      <x:c r="G57" s="17" t="str">
        <x:v>REQ_00900052</x:v>
      </x:c>
    </x:row>
    <x:row r="58">
      <x:c r="A58" s="17" t="str">
        <x:v>APP2025000054</x:v>
      </x:c>
      <x:c r="B58" s="20" t="n">
        <x:v>45817.433333333334</x:v>
      </x:c>
      <x:c r="C58" s="17" t="str">
        <x:v>v1.6</x:v>
      </x:c>
      <x:c r="D58" s="17" t="str">
        <x:v>PASS</x:v>
      </x:c>
      <x:c r="E58" s="17" t="str">
        <x:v>DEFAULT</x:v>
      </x:c>
      <x:c r="F58" s="17" t="str">
        <x:v>未命中拒绝或人工审核规则</x:v>
      </x:c>
      <x:c r="G58" s="17" t="str">
        <x:v>REQ_00900053</x:v>
      </x:c>
    </x:row>
    <x:row r="59">
      <x:c r="A59" s="17" t="str">
        <x:v>APP2025000055</x:v>
      </x:c>
      <x:c r="B59" s="20" t="n">
        <x:v>45722.54027777778</x:v>
      </x:c>
      <x:c r="C59" s="17" t="str">
        <x:v>v1.6</x:v>
      </x:c>
      <x:c r="D59" s="17" t="str">
        <x:v>REVIEW</x:v>
      </x:c>
      <x:c r="E59" s="17" t="str">
        <x:v>R004</x:v>
      </x:c>
      <x:c r="F59" s="17" t="str">
        <x:v>信用评分 543 进入人工复核区间</x:v>
      </x:c>
      <x:c r="G59" s="17" t="str">
        <x:v>REQ_00900054</x:v>
      </x:c>
    </x:row>
    <x:row r="60">
      <x:c r="A60" s="17" t="str">
        <x:v>APP2025000056</x:v>
      </x:c>
      <x:c r="B60" s="20" t="n">
        <x:v>45768.55486111111</x:v>
      </x:c>
      <x:c r="C60" s="17" t="str">
        <x:v>v1.6</x:v>
      </x:c>
      <x:c r="D60" s="17" t="str">
        <x:v>REJECT</x:v>
      </x:c>
      <x:c r="E60" s="17" t="str">
        <x:v>R001</x:v>
      </x:c>
      <x:c r="F60" s="17" t="str">
        <x:v>近12个月逾期 4 次，达到3次拒绝阈值</x:v>
      </x:c>
      <x:c r="G60" s="17" t="str">
        <x:v>REQ_00900055</x:v>
      </x:c>
    </x:row>
    <x:row r="61">
      <x:c r="A61" s="17" t="str">
        <x:v>APP2025000057</x:v>
      </x:c>
      <x:c r="B61" s="20" t="n">
        <x:v>45769.638194444444</x:v>
      </x:c>
      <x:c r="C61" s="17" t="str">
        <x:v>v1.6</x:v>
      </x:c>
      <x:c r="D61" s="17" t="str">
        <x:v>PASS</x:v>
      </x:c>
      <x:c r="E61" s="17" t="str">
        <x:v>DEFAULT</x:v>
      </x:c>
      <x:c r="F61" s="17" t="str">
        <x:v>未命中拒绝或人工审核规则</x:v>
      </x:c>
      <x:c r="G61" s="17" t="str">
        <x:v>REQ_00900056</x:v>
      </x:c>
    </x:row>
    <x:row r="62">
      <x:c r="A62" s="17" t="str">
        <x:v>APP2025000058</x:v>
      </x:c>
      <x:c r="B62" s="20" t="n">
        <x:v>45808.50208333333</x:v>
      </x:c>
      <x:c r="C62" s="17" t="str">
        <x:v>v1.6</x:v>
      </x:c>
      <x:c r="D62" s="17" t="str">
        <x:v>PASS</x:v>
      </x:c>
      <x:c r="E62" s="17" t="str">
        <x:v>DEFAULT</x:v>
      </x:c>
      <x:c r="F62" s="17" t="str">
        <x:v>未命中拒绝或人工审核规则</x:v>
      </x:c>
      <x:c r="G62" s="17" t="str">
        <x:v>REQ_00900057</x:v>
      </x:c>
    </x:row>
    <x:row r="63">
      <x:c r="A63" s="17" t="str">
        <x:v>APP2025000059</x:v>
      </x:c>
      <x:c r="B63" s="20" t="n">
        <x:v>45833.447222222225</x:v>
      </x:c>
      <x:c r="C63" s="17" t="str">
        <x:v>v1.6</x:v>
      </x:c>
      <x:c r="D63" s="17" t="str">
        <x:v>PASS</x:v>
      </x:c>
      <x:c r="E63" s="17" t="str">
        <x:v>DEFAULT</x:v>
      </x:c>
      <x:c r="F63" s="17" t="str">
        <x:v>未命中拒绝或人工审核规则</x:v>
      </x:c>
      <x:c r="G63" s="17" t="str">
        <x:v>REQ_00900058</x:v>
      </x:c>
    </x:row>
    <x:row r="64">
      <x:c r="A64" s="17" t="str">
        <x:v>APP2025000060</x:v>
      </x:c>
      <x:c r="B64" s="20" t="n">
        <x:v>45759.510416666664</x:v>
      </x:c>
      <x:c r="C64" s="17" t="str">
        <x:v>v1.6</x:v>
      </x:c>
      <x:c r="D64" s="17" t="str">
        <x:v>PASS</x:v>
      </x:c>
      <x:c r="E64" s="17" t="str">
        <x:v>DEFAULT</x:v>
      </x:c>
      <x:c r="F64" s="17" t="str">
        <x:v>未命中拒绝或人工审核规则</x:v>
      </x:c>
      <x:c r="G64" s="17" t="str">
        <x:v>REQ_00900059</x:v>
      </x:c>
    </x:row>
    <x:row r="65">
      <x:c r="A65" s="17" t="str">
        <x:v>APP2025000061</x:v>
      </x:c>
      <x:c r="B65" s="20" t="n">
        <x:v>45747.67152777778</x:v>
      </x:c>
      <x:c r="C65" s="17" t="str">
        <x:v>v1.6</x:v>
      </x:c>
      <x:c r="D65" s="17" t="str">
        <x:v>REVIEW</x:v>
      </x:c>
      <x:c r="E65" s="17" t="str">
        <x:v>R002</x:v>
      </x:c>
      <x:c r="F65" s="17" t="str">
        <x:v>负债收入比 99.5% 超过80%</x:v>
      </x:c>
      <x:c r="G65" s="17" t="str">
        <x:v>REQ_00900060</x:v>
      </x:c>
    </x:row>
    <x:row r="66">
      <x:c r="A66" s="17" t="str">
        <x:v>APP2025000062</x:v>
      </x:c>
      <x:c r="B66" s="20" t="n">
        <x:v>45711.41388888889</x:v>
      </x:c>
      <x:c r="C66" s="17" t="str">
        <x:v>v1.6</x:v>
      </x:c>
      <x:c r="D66" s="17" t="str">
        <x:v>REVIEW</x:v>
      </x:c>
      <x:c r="E66" s="17" t="str">
        <x:v>R002</x:v>
      </x:c>
      <x:c r="F66" s="17" t="str">
        <x:v>负债收入比 100% 超过80%</x:v>
      </x:c>
      <x:c r="G66" s="17" t="str">
        <x:v>REQ_00900061</x:v>
      </x:c>
    </x:row>
    <x:row r="67">
      <x:c r="A67" s="17" t="str">
        <x:v>APP2025000063</x:v>
      </x:c>
      <x:c r="B67" s="20" t="n">
        <x:v>45837.375</x:v>
      </x:c>
      <x:c r="C67" s="17" t="str">
        <x:v>v1.6</x:v>
      </x:c>
      <x:c r="D67" s="17" t="str">
        <x:v>REVIEW</x:v>
      </x:c>
      <x:c r="E67" s="17" t="str">
        <x:v>R002</x:v>
      </x:c>
      <x:c r="F67" s="17" t="str">
        <x:v>负债收入比 101.3% 超过80%</x:v>
      </x:c>
      <x:c r="G67" s="17" t="str">
        <x:v>REQ_00900062</x:v>
      </x:c>
    </x:row>
    <x:row r="68">
      <x:c r="A68" s="17" t="str">
        <x:v>APP2025000064</x:v>
      </x:c>
      <x:c r="B68" s="20" t="n">
        <x:v>45782.618055555555</x:v>
      </x:c>
      <x:c r="C68" s="17" t="str">
        <x:v>v1.6</x:v>
      </x:c>
      <x:c r="D68" s="17" t="str">
        <x:v>PASS</x:v>
      </x:c>
      <x:c r="E68" s="17" t="str">
        <x:v>DEFAULT</x:v>
      </x:c>
      <x:c r="F68" s="17" t="str">
        <x:v>未命中拒绝或人工审核规则</x:v>
      </x:c>
      <x:c r="G68" s="17" t="str">
        <x:v>REQ_00900063</x:v>
      </x:c>
    </x:row>
    <x:row r="69">
      <x:c r="A69" s="17" t="str">
        <x:v>APP2025000065</x:v>
      </x:c>
      <x:c r="B69" s="20" t="n">
        <x:v>45721.55625</x:v>
      </x:c>
      <x:c r="C69" s="17" t="str">
        <x:v>v1.6</x:v>
      </x:c>
      <x:c r="D69" s="17" t="str">
        <x:v>REVIEW</x:v>
      </x:c>
      <x:c r="E69" s="17" t="str">
        <x:v>R004</x:v>
      </x:c>
      <x:c r="F69" s="17" t="str">
        <x:v>信用评分 540 进入人工复核区间</x:v>
      </x:c>
      <x:c r="G69" s="17" t="str">
        <x:v>REQ_00900064</x:v>
      </x:c>
    </x:row>
    <x:row r="70">
      <x:c r="A70" s="17" t="str">
        <x:v>APP2025000066</x:v>
      </x:c>
      <x:c r="B70" s="20" t="n">
        <x:v>45804.461805555555</x:v>
      </x:c>
      <x:c r="C70" s="17" t="str">
        <x:v>v1.6</x:v>
      </x:c>
      <x:c r="D70" s="17" t="str">
        <x:v>REVIEW</x:v>
      </x:c>
      <x:c r="E70" s="17" t="str">
        <x:v>R002</x:v>
      </x:c>
      <x:c r="F70" s="17" t="str">
        <x:v>负债收入比 98.6% 超过80%</x:v>
      </x:c>
      <x:c r="G70" s="17" t="str">
        <x:v>REQ_00900065</x:v>
      </x:c>
    </x:row>
    <x:row r="71">
      <x:c r="A71" s="17" t="str">
        <x:v>APP2025000067</x:v>
      </x:c>
      <x:c r="B71" s="20" t="n">
        <x:v>45745.475694444445</x:v>
      </x:c>
      <x:c r="C71" s="17" t="str">
        <x:v>v1.6</x:v>
      </x:c>
      <x:c r="D71" s="17" t="str">
        <x:v>PASS</x:v>
      </x:c>
      <x:c r="E71" s="17" t="str">
        <x:v>DEFAULT</x:v>
      </x:c>
      <x:c r="F71" s="17" t="str">
        <x:v>未命中拒绝或人工审核规则</x:v>
      </x:c>
      <x:c r="G71" s="17" t="str">
        <x:v>REQ_00900066</x:v>
      </x:c>
    </x:row>
    <x:row r="72">
      <x:c r="A72" s="17" t="str">
        <x:v>APP2025000068</x:v>
      </x:c>
      <x:c r="B72" s="20" t="n">
        <x:v>45736.73472222222</x:v>
      </x:c>
      <x:c r="C72" s="17" t="str">
        <x:v>v1.6</x:v>
      </x:c>
      <x:c r="D72" s="17" t="str">
        <x:v>REVIEW</x:v>
      </x:c>
      <x:c r="E72" s="17" t="str">
        <x:v>R002</x:v>
      </x:c>
      <x:c r="F72" s="17" t="str">
        <x:v>负债收入比 91.2% 超过80%</x:v>
      </x:c>
      <x:c r="G72" s="17" t="str">
        <x:v>REQ_00900067</x:v>
      </x:c>
    </x:row>
    <x:row r="73">
      <x:c r="A73" s="17" t="str">
        <x:v>APP2025000069</x:v>
      </x:c>
      <x:c r="B73" s="20" t="n">
        <x:v>45832.416666666664</x:v>
      </x:c>
      <x:c r="C73" s="17" t="str">
        <x:v>v1.6</x:v>
      </x:c>
      <x:c r="D73" s="17" t="str">
        <x:v>REVIEW</x:v>
      </x:c>
      <x:c r="E73" s="17" t="str">
        <x:v>R002</x:v>
      </x:c>
      <x:c r="F73" s="17" t="str">
        <x:v>负债收入比 83% 超过80%</x:v>
      </x:c>
      <x:c r="G73" s="17" t="str">
        <x:v>REQ_00900068</x:v>
      </x:c>
    </x:row>
    <x:row r="74">
      <x:c r="A74" s="17" t="str">
        <x:v>APP2025000070</x:v>
      </x:c>
      <x:c r="B74" s="20" t="n">
        <x:v>45673.635416666664</x:v>
      </x:c>
      <x:c r="C74" s="17" t="str">
        <x:v>v1.6</x:v>
      </x:c>
      <x:c r="D74" s="17" t="str">
        <x:v>PASS</x:v>
      </x:c>
      <x:c r="E74" s="17" t="str">
        <x:v>DEFAULT</x:v>
      </x:c>
      <x:c r="F74" s="17" t="str">
        <x:v>未命中拒绝或人工审核规则</x:v>
      </x:c>
      <x:c r="G74" s="17" t="str">
        <x:v>REQ_00900069</x:v>
      </x:c>
    </x:row>
    <x:row r="75">
      <x:c r="A75" s="17" t="str">
        <x:v>APP2025000071</x:v>
      </x:c>
      <x:c r="B75" s="20" t="n">
        <x:v>45807.69652777778</x:v>
      </x:c>
      <x:c r="C75" s="17" t="str">
        <x:v>v1.6</x:v>
      </x:c>
      <x:c r="D75" s="17" t="str">
        <x:v>PASS</x:v>
      </x:c>
      <x:c r="E75" s="17" t="str">
        <x:v>DEFAULT</x:v>
      </x:c>
      <x:c r="F75" s="17" t="str">
        <x:v>未命中拒绝或人工审核规则</x:v>
      </x:c>
      <x:c r="G75" s="17" t="str">
        <x:v>REQ_00900070</x:v>
      </x:c>
    </x:row>
    <x:row r="76">
      <x:c r="A76" s="17" t="str">
        <x:v>APP2025000072</x:v>
      </x:c>
      <x:c r="B76" s="20" t="n">
        <x:v>45695.675</x:v>
      </x:c>
      <x:c r="C76" s="17" t="str">
        <x:v>v1.6</x:v>
      </x:c>
      <x:c r="D76" s="17" t="str">
        <x:v>PASS</x:v>
      </x:c>
      <x:c r="E76" s="17" t="str">
        <x:v>DEFAULT</x:v>
      </x:c>
      <x:c r="F76" s="17" t="str">
        <x:v>未命中拒绝或人工审核规则</x:v>
      </x:c>
      <x:c r="G76" s="17" t="str">
        <x:v>REQ_00900071</x:v>
      </x:c>
    </x:row>
    <x:row r="77">
      <x:c r="A77" s="17" t="str">
        <x:v>APP2025000073</x:v>
      </x:c>
      <x:c r="B77" s="20" t="n">
        <x:v>45668.356944444444</x:v>
      </x:c>
      <x:c r="C77" s="17" t="str">
        <x:v>v1.6</x:v>
      </x:c>
      <x:c r="D77" s="17" t="str">
        <x:v>PASS</x:v>
      </x:c>
      <x:c r="E77" s="17" t="str">
        <x:v>DEFAULT</x:v>
      </x:c>
      <x:c r="F77" s="17" t="str">
        <x:v>未命中拒绝或人工审核规则</x:v>
      </x:c>
      <x:c r="G77" s="17" t="str">
        <x:v>REQ_00900072</x:v>
      </x:c>
    </x:row>
    <x:row r="78">
      <x:c r="A78" s="17" t="str">
        <x:v>APP2025000074</x:v>
      </x:c>
      <x:c r="B78" s="20" t="n">
        <x:v>45722.697222222225</x:v>
      </x:c>
      <x:c r="C78" s="17" t="str">
        <x:v>v1.6</x:v>
      </x:c>
      <x:c r="D78" s="17" t="str">
        <x:v>PASS</x:v>
      </x:c>
      <x:c r="E78" s="17" t="str">
        <x:v>DEFAULT</x:v>
      </x:c>
      <x:c r="F78" s="17" t="str">
        <x:v>未命中拒绝或人工审核规则</x:v>
      </x:c>
      <x:c r="G78" s="17" t="str">
        <x:v>REQ_00900073</x:v>
      </x:c>
    </x:row>
    <x:row r="79">
      <x:c r="A79" s="17" t="str">
        <x:v>APP2025000075</x:v>
      </x:c>
      <x:c r="B79" s="20" t="n">
        <x:v>45664.592361111114</x:v>
      </x:c>
      <x:c r="C79" s="17" t="str">
        <x:v>v1.6</x:v>
      </x:c>
      <x:c r="D79" s="17" t="str">
        <x:v>PASS</x:v>
      </x:c>
      <x:c r="E79" s="17" t="str">
        <x:v>DEFAULT</x:v>
      </x:c>
      <x:c r="F79" s="17" t="str">
        <x:v>未命中拒绝或人工审核规则</x:v>
      </x:c>
      <x:c r="G79" s="17" t="str">
        <x:v>REQ_00900074</x:v>
      </x:c>
    </x:row>
    <x:row r="80">
      <x:c r="A80" s="17" t="str">
        <x:v>APP2025000076</x:v>
      </x:c>
      <x:c r="B80" s="20" t="n">
        <x:v>45765.66805555556</x:v>
      </x:c>
      <x:c r="C80" s="17" t="str">
        <x:v>v1.6</x:v>
      </x:c>
      <x:c r="D80" s="17" t="str">
        <x:v>REVIEW</x:v>
      </x:c>
      <x:c r="E80" s="17" t="str">
        <x:v>R002</x:v>
      </x:c>
      <x:c r="F80" s="17" t="str">
        <x:v>负债收入比 83.9% 超过80%</x:v>
      </x:c>
      <x:c r="G80" s="17" t="str">
        <x:v>REQ_00900075</x:v>
      </x:c>
    </x:row>
    <x:row r="81">
      <x:c r="A81" s="17" t="str">
        <x:v>APP2025000077</x:v>
      </x:c>
      <x:c r="B81" s="20" t="n">
        <x:v>45828.375</x:v>
      </x:c>
      <x:c r="C81" s="17" t="str">
        <x:v>v1.6</x:v>
      </x:c>
      <x:c r="D81" s="17" t="str">
        <x:v>PASS</x:v>
      </x:c>
      <x:c r="E81" s="17" t="str">
        <x:v>DEFAULT</x:v>
      </x:c>
      <x:c r="F81" s="17" t="str">
        <x:v>未命中拒绝或人工审核规则</x:v>
      </x:c>
      <x:c r="G81" s="17" t="str">
        <x:v>REQ_00900076</x:v>
      </x:c>
    </x:row>
    <x:row r="82">
      <x:c r="A82" s="17" t="str">
        <x:v>APP2025000078</x:v>
      </x:c>
      <x:c r="B82" s="20" t="n">
        <x:v>45704.436111111114</x:v>
      </x:c>
      <x:c r="C82" s="17" t="str">
        <x:v>v1.6</x:v>
      </x:c>
      <x:c r="D82" s="17" t="str">
        <x:v>REVIEW</x:v>
      </x:c>
      <x:c r="E82" s="17" t="str">
        <x:v>R002</x:v>
      </x:c>
      <x:c r="F82" s="17" t="str">
        <x:v>负债收入比 86.2% 超过80%</x:v>
      </x:c>
      <x:c r="G82" s="17" t="str">
        <x:v>REQ_00900077</x:v>
      </x:c>
    </x:row>
    <x:row r="83">
      <x:c r="A83" s="17" t="str">
        <x:v>APP2025000079</x:v>
      </x:c>
      <x:c r="B83" s="20" t="n">
        <x:v>45770.37847222222</x:v>
      </x:c>
      <x:c r="C83" s="17" t="str">
        <x:v>v1.6</x:v>
      </x:c>
      <x:c r="D83" s="17" t="str">
        <x:v>REVIEW</x:v>
      </x:c>
      <x:c r="E83" s="17" t="str">
        <x:v>R002</x:v>
      </x:c>
      <x:c r="F83" s="17" t="str">
        <x:v>负债收入比 91.3% 超过80%</x:v>
      </x:c>
      <x:c r="G83" s="17" t="str">
        <x:v>REQ_00900078</x:v>
      </x:c>
    </x:row>
    <x:row r="84">
      <x:c r="A84" s="17" t="str">
        <x:v>APP2025000080</x:v>
      </x:c>
      <x:c r="B84" s="20" t="n">
        <x:v>45797.62152777778</x:v>
      </x:c>
      <x:c r="C84" s="17" t="str">
        <x:v>v1.6</x:v>
      </x:c>
      <x:c r="D84" s="17" t="str">
        <x:v>REJECT</x:v>
      </x:c>
      <x:c r="E84" s="17" t="str">
        <x:v>R003</x:v>
      </x:c>
      <x:c r="F84" s="17" t="str">
        <x:v>信用评分 430 低于500</x:v>
      </x:c>
      <x:c r="G84" s="17" t="str">
        <x:v>REQ_00900079</x:v>
      </x:c>
    </x:row>
    <x:row r="85">
      <x:c r="A85" s="17" t="str">
        <x:v>APP2025000081</x:v>
      </x:c>
      <x:c r="B85" s="20" t="n">
        <x:v>45814.50277777778</x:v>
      </x:c>
      <x:c r="C85" s="17" t="str">
        <x:v>v1.6</x:v>
      </x:c>
      <x:c r="D85" s="17" t="str">
        <x:v>REVIEW</x:v>
      </x:c>
      <x:c r="E85" s="17" t="str">
        <x:v>R002</x:v>
      </x:c>
      <x:c r="F85" s="17" t="str">
        <x:v>负债收入比 98.1% 超过80%</x:v>
      </x:c>
      <x:c r="G85" s="17" t="str">
        <x:v>REQ_00900080</x:v>
      </x:c>
    </x:row>
    <x:row r="86">
      <x:c r="A86" s="17" t="str">
        <x:v>APP2025000082</x:v>
      </x:c>
      <x:c r="B86" s="20" t="n">
        <x:v>45788.544444444444</x:v>
      </x:c>
      <x:c r="C86" s="17" t="str">
        <x:v>v1.6</x:v>
      </x:c>
      <x:c r="D86" s="17" t="str">
        <x:v>PASS</x:v>
      </x:c>
      <x:c r="E86" s="17" t="str">
        <x:v>DEFAULT</x:v>
      </x:c>
      <x:c r="F86" s="17" t="str">
        <x:v>未命中拒绝或人工审核规则</x:v>
      </x:c>
      <x:c r="G86" s="17" t="str">
        <x:v>REQ_00900081</x:v>
      </x:c>
    </x:row>
    <x:row r="87">
      <x:c r="A87" s="17" t="str">
        <x:v>APP2025000083</x:v>
      </x:c>
      <x:c r="B87" s="20" t="n">
        <x:v>45741.50347222222</x:v>
      </x:c>
      <x:c r="C87" s="17" t="str">
        <x:v>v1.6</x:v>
      </x:c>
      <x:c r="D87" s="17" t="str">
        <x:v>PASS</x:v>
      </x:c>
      <x:c r="E87" s="17" t="str">
        <x:v>DEFAULT</x:v>
      </x:c>
      <x:c r="F87" s="17" t="str">
        <x:v>未命中拒绝或人工审核规则</x:v>
      </x:c>
      <x:c r="G87" s="17" t="str">
        <x:v>REQ_00900082</x:v>
      </x:c>
    </x:row>
    <x:row r="88">
      <x:c r="A88" s="17" t="str">
        <x:v>APP2025000084</x:v>
      </x:c>
      <x:c r="B88" s="20" t="n">
        <x:v>45779.59027777778</x:v>
      </x:c>
      <x:c r="C88" s="17" t="str">
        <x:v>v1.6</x:v>
      </x:c>
      <x:c r="D88" s="17" t="str">
        <x:v>PASS</x:v>
      </x:c>
      <x:c r="E88" s="17" t="str">
        <x:v>DEFAULT</x:v>
      </x:c>
      <x:c r="F88" s="17" t="str">
        <x:v>未命中拒绝或人工审核规则</x:v>
      </x:c>
      <x:c r="G88" s="17" t="str">
        <x:v>REQ_00900083</x:v>
      </x:c>
    </x:row>
    <x:row r="89">
      <x:c r="A89" s="17" t="str">
        <x:v>APP2025000085</x:v>
      </x:c>
      <x:c r="B89" s="20" t="n">
        <x:v>45837.43958333333</x:v>
      </x:c>
      <x:c r="C89" s="17" t="str">
        <x:v>v1.6</x:v>
      </x:c>
      <x:c r="D89" s="17" t="str">
        <x:v>REVIEW</x:v>
      </x:c>
      <x:c r="E89" s="17" t="str">
        <x:v>R002</x:v>
      </x:c>
      <x:c r="F89" s="17" t="str">
        <x:v>负债收入比 90.9% 超过80%</x:v>
      </x:c>
      <x:c r="G89" s="17" t="str">
        <x:v>REQ_00900084</x:v>
      </x:c>
    </x:row>
    <x:row r="90">
      <x:c r="A90" s="17" t="str">
        <x:v>APP2025000086</x:v>
      </x:c>
      <x:c r="B90" s="20" t="n">
        <x:v>45676.61597222222</x:v>
      </x:c>
      <x:c r="C90" s="17" t="str">
        <x:v>v1.6</x:v>
      </x:c>
      <x:c r="D90" s="17" t="str">
        <x:v>PASS</x:v>
      </x:c>
      <x:c r="E90" s="17" t="str">
        <x:v>DEFAULT</x:v>
      </x:c>
      <x:c r="F90" s="17" t="str">
        <x:v>未命中拒绝或人工审核规则</x:v>
      </x:c>
      <x:c r="G90" s="17" t="str">
        <x:v>REQ_00900085</x:v>
      </x:c>
    </x:row>
    <x:row r="91">
      <x:c r="A91" s="17" t="str">
        <x:v>APP2025000087</x:v>
      </x:c>
      <x:c r="B91" s="20" t="n">
        <x:v>45752.42013888889</x:v>
      </x:c>
      <x:c r="C91" s="17" t="str">
        <x:v>v1.6</x:v>
      </x:c>
      <x:c r="D91" s="17" t="str">
        <x:v>PASS</x:v>
      </x:c>
      <x:c r="E91" s="17" t="str">
        <x:v>DEFAULT</x:v>
      </x:c>
      <x:c r="F91" s="17" t="str">
        <x:v>未命中拒绝或人工审核规则</x:v>
      </x:c>
      <x:c r="G91" s="17" t="str">
        <x:v>REQ_00900086</x:v>
      </x:c>
    </x:row>
    <x:row r="92">
      <x:c r="A92" s="17" t="str">
        <x:v>APP2025000088</x:v>
      </x:c>
      <x:c r="B92" s="20" t="n">
        <x:v>45699.74097222222</x:v>
      </x:c>
      <x:c r="C92" s="17" t="str">
        <x:v>v1.6</x:v>
      </x:c>
      <x:c r="D92" s="17" t="str">
        <x:v>PASS</x:v>
      </x:c>
      <x:c r="E92" s="17" t="str">
        <x:v>DEFAULT</x:v>
      </x:c>
      <x:c r="F92" s="17" t="str">
        <x:v>未命中拒绝或人工审核规则</x:v>
      </x:c>
      <x:c r="G92" s="17" t="str">
        <x:v>REQ_00900087</x:v>
      </x:c>
    </x:row>
    <x:row r="93">
      <x:c r="A93" s="17" t="str">
        <x:v>APP2025000089</x:v>
      </x:c>
      <x:c r="B93" s="20" t="n">
        <x:v>45798.46805555555</x:v>
      </x:c>
      <x:c r="C93" s="17" t="str">
        <x:v>v1.6</x:v>
      </x:c>
      <x:c r="D93" s="17" t="str">
        <x:v>PASS</x:v>
      </x:c>
      <x:c r="E93" s="17" t="str">
        <x:v>DEFAULT</x:v>
      </x:c>
      <x:c r="F93" s="17" t="str">
        <x:v>未命中拒绝或人工审核规则</x:v>
      </x:c>
      <x:c r="G93" s="17" t="str">
        <x:v>REQ_00900088</x:v>
      </x:c>
    </x:row>
    <x:row r="94">
      <x:c r="A94" s="17" t="str">
        <x:v>APP2025000090</x:v>
      </x:c>
      <x:c r="B94" s="20" t="n">
        <x:v>45726.680555555555</x:v>
      </x:c>
      <x:c r="C94" s="17" t="str">
        <x:v>v1.6</x:v>
      </x:c>
      <x:c r="D94" s="17" t="str">
        <x:v>REVIEW</x:v>
      </x:c>
      <x:c r="E94" s="17" t="str">
        <x:v>R002</x:v>
      </x:c>
      <x:c r="F94" s="17" t="str">
        <x:v>负债收入比 93.8% 超过80%</x:v>
      </x:c>
      <x:c r="G94" s="17" t="str">
        <x:v>REQ_00900089</x:v>
      </x:c>
    </x:row>
    <x:row r="95">
      <x:c r="A95" s="17" t="str">
        <x:v>APP2025000091</x:v>
      </x:c>
      <x:c r="B95" s="20" t="n">
        <x:v>45793.589583333334</x:v>
      </x:c>
      <x:c r="C95" s="17" t="str">
        <x:v>v1.6</x:v>
      </x:c>
      <x:c r="D95" s="17" t="str">
        <x:v>PASS</x:v>
      </x:c>
      <x:c r="E95" s="17" t="str">
        <x:v>DEFAULT</x:v>
      </x:c>
      <x:c r="F95" s="17" t="str">
        <x:v>未命中拒绝或人工审核规则</x:v>
      </x:c>
      <x:c r="G95" s="17" t="str">
        <x:v>REQ_00900090</x:v>
      </x:c>
    </x:row>
    <x:row r="96">
      <x:c r="A96" s="17" t="str">
        <x:v>APP2025000092</x:v>
      </x:c>
      <x:c r="B96" s="20" t="n">
        <x:v>45796.535416666666</x:v>
      </x:c>
      <x:c r="C96" s="17" t="str">
        <x:v>v1.6</x:v>
      </x:c>
      <x:c r="D96" s="17" t="str">
        <x:v>PASS</x:v>
      </x:c>
      <x:c r="E96" s="17" t="str">
        <x:v>DEFAULT</x:v>
      </x:c>
      <x:c r="F96" s="17" t="str">
        <x:v>未命中拒绝或人工审核规则</x:v>
      </x:c>
      <x:c r="G96" s="17" t="str">
        <x:v>REQ_00900091</x:v>
      </x:c>
    </x:row>
    <x:row r="97">
      <x:c r="A97" s="17" t="str">
        <x:v>APP2025000093</x:v>
      </x:c>
      <x:c r="B97" s="20" t="n">
        <x:v>45712.479166666664</x:v>
      </x:c>
      <x:c r="C97" s="17" t="str">
        <x:v>v1.6</x:v>
      </x:c>
      <x:c r="D97" s="17" t="str">
        <x:v>PASS</x:v>
      </x:c>
      <x:c r="E97" s="17" t="str">
        <x:v>DEFAULT</x:v>
      </x:c>
      <x:c r="F97" s="17" t="str">
        <x:v>未命中拒绝或人工审核规则</x:v>
      </x:c>
      <x:c r="G97" s="17" t="str">
        <x:v>REQ_00900092</x:v>
      </x:c>
    </x:row>
    <x:row r="98">
      <x:c r="A98" s="17" t="str">
        <x:v>APP2025000094</x:v>
      </x:c>
      <x:c r="B98" s="20" t="n">
        <x:v>45735.35277777778</x:v>
      </x:c>
      <x:c r="C98" s="17" t="str">
        <x:v>v1.6</x:v>
      </x:c>
      <x:c r="D98" s="17" t="str">
        <x:v>REVIEW</x:v>
      </x:c>
      <x:c r="E98" s="17" t="str">
        <x:v>R002</x:v>
      </x:c>
      <x:c r="F98" s="17" t="str">
        <x:v>负债收入比 89.6% 超过80%</x:v>
      </x:c>
      <x:c r="G98" s="17" t="str">
        <x:v>REQ_00900093</x:v>
      </x:c>
    </x:row>
    <x:row r="99">
      <x:c r="A99" s="17" t="str">
        <x:v>APP2025000095</x:v>
      </x:c>
      <x:c r="B99" s="20" t="n">
        <x:v>45661.65069444444</x:v>
      </x:c>
      <x:c r="C99" s="17" t="str">
        <x:v>v1.6</x:v>
      </x:c>
      <x:c r="D99" s="17" t="str">
        <x:v>REVIEW</x:v>
      </x:c>
      <x:c r="E99" s="17" t="str">
        <x:v>R002</x:v>
      </x:c>
      <x:c r="F99" s="17" t="str">
        <x:v>负债收入比 85.8% 超过80%</x:v>
      </x:c>
      <x:c r="G99" s="17" t="str">
        <x:v>REQ_00900094</x:v>
      </x:c>
    </x:row>
    <x:row r="100">
      <x:c r="A100" s="17" t="str">
        <x:v>APP2025000096</x:v>
      </x:c>
      <x:c r="B100" s="20" t="n">
        <x:v>45827.50208333333</x:v>
      </x:c>
      <x:c r="C100" s="17" t="str">
        <x:v>v1.6</x:v>
      </x:c>
      <x:c r="D100" s="17" t="str">
        <x:v>PASS</x:v>
      </x:c>
      <x:c r="E100" s="17" t="str">
        <x:v>DEFAULT</x:v>
      </x:c>
      <x:c r="F100" s="17" t="str">
        <x:v>未命中拒绝或人工审核规则</x:v>
      </x:c>
      <x:c r="G100" s="17" t="str">
        <x:v>REQ_00900095</x:v>
      </x:c>
    </x:row>
    <x:row r="101">
      <x:c r="A101" s="17" t="str">
        <x:v>APP2025000097</x:v>
      </x:c>
      <x:c r="B101" s="20" t="n">
        <x:v>45677.748611111114</x:v>
      </x:c>
      <x:c r="C101" s="17" t="str">
        <x:v>v1.6</x:v>
      </x:c>
      <x:c r="D101" s="17" t="str">
        <x:v>REVIEW</x:v>
      </x:c>
      <x:c r="E101" s="17" t="str">
        <x:v>R002-NULL</x:v>
      </x:c>
      <x:c r="F101" s="17" t="str">
        <x:v>负债收入比缺失，进入人工审核</x:v>
      </x:c>
      <x:c r="G101" s="17" t="str">
        <x:v>REQ_00900096</x:v>
      </x:c>
    </x:row>
    <x:row r="102">
      <x:c r="A102" s="17" t="str">
        <x:v>APP2025000098</x:v>
      </x:c>
      <x:c r="B102" s="20" t="n">
        <x:v>45710.58819444444</x:v>
      </x:c>
      <x:c r="C102" s="17" t="str">
        <x:v>v1.6</x:v>
      </x:c>
      <x:c r="D102" s="17" t="str">
        <x:v>REVIEW</x:v>
      </x:c>
      <x:c r="E102" s="17" t="str">
        <x:v>R004</x:v>
      </x:c>
      <x:c r="F102" s="17" t="str">
        <x:v>信用评分 558 进入人工复核区间</x:v>
      </x:c>
      <x:c r="G102" s="17" t="str">
        <x:v>REQ_00900097</x:v>
      </x:c>
    </x:row>
    <x:row r="103">
      <x:c r="A103" s="17" t="str">
        <x:v>APP2025000099</x:v>
      </x:c>
      <x:c r="B103" s="20" t="n">
        <x:v>45792.56736111111</x:v>
      </x:c>
      <x:c r="C103" s="17" t="str">
        <x:v>v1.6</x:v>
      </x:c>
      <x:c r="D103" s="17" t="str">
        <x:v>PASS</x:v>
      </x:c>
      <x:c r="E103" s="17" t="str">
        <x:v>DEFAULT</x:v>
      </x:c>
      <x:c r="F103" s="17" t="str">
        <x:v>未命中拒绝或人工审核规则</x:v>
      </x:c>
      <x:c r="G103" s="17" t="str">
        <x:v>REQ_00900098</x:v>
      </x:c>
    </x:row>
    <x:row r="104">
      <x:c r="A104" s="17" t="str">
        <x:v>APP2025000100</x:v>
      </x:c>
      <x:c r="B104" s="20" t="n">
        <x:v>45683.74236111111</x:v>
      </x:c>
      <x:c r="C104" s="17" t="str">
        <x:v>v1.6</x:v>
      </x:c>
      <x:c r="D104" s="17" t="str">
        <x:v>REJECT</x:v>
      </x:c>
      <x:c r="E104" s="17" t="str">
        <x:v>R003</x:v>
      </x:c>
      <x:c r="F104" s="17" t="str">
        <x:v>信用评分 430 低于500</x:v>
      </x:c>
      <x:c r="G104" s="17" t="str">
        <x:v>REQ_00900099</x:v>
      </x:c>
    </x:row>
    <x:row r="105">
      <x:c r="A105" s="17" t="str">
        <x:v>APP2025000101</x:v>
      </x:c>
      <x:c r="B105" s="20" t="n">
        <x:v>45830.589583333334</x:v>
      </x:c>
      <x:c r="C105" s="17" t="str">
        <x:v>v1.6</x:v>
      </x:c>
      <x:c r="D105" s="17" t="str">
        <x:v>PASS</x:v>
      </x:c>
      <x:c r="E105" s="17" t="str">
        <x:v>DEFAULT</x:v>
      </x:c>
      <x:c r="F105" s="17" t="str">
        <x:v>未命中拒绝或人工审核规则</x:v>
      </x:c>
      <x:c r="G105" s="17" t="str">
        <x:v>REQ_00900100</x:v>
      </x:c>
    </x:row>
    <x:row r="106">
      <x:c r="A106" s="17" t="str">
        <x:v>APP2025000102</x:v>
      </x:c>
      <x:c r="B106" s="20" t="n">
        <x:v>45778.54791666667</x:v>
      </x:c>
      <x:c r="C106" s="17" t="str">
        <x:v>v1.6</x:v>
      </x:c>
      <x:c r="D106" s="17" t="str">
        <x:v>PASS</x:v>
      </x:c>
      <x:c r="E106" s="17" t="str">
        <x:v>DEFAULT</x:v>
      </x:c>
      <x:c r="F106" s="17" t="str">
        <x:v>未命中拒绝或人工审核规则</x:v>
      </x:c>
      <x:c r="G106" s="17" t="str">
        <x:v>REQ_00900101</x:v>
      </x:c>
    </x:row>
    <x:row r="107">
      <x:c r="A107" s="17" t="str">
        <x:v>APP2025000103</x:v>
      </x:c>
      <x:c r="B107" s="20" t="n">
        <x:v>45731.67222222222</x:v>
      </x:c>
      <x:c r="C107" s="17" t="str">
        <x:v>v1.6</x:v>
      </x:c>
      <x:c r="D107" s="17" t="str">
        <x:v>PASS</x:v>
      </x:c>
      <x:c r="E107" s="17" t="str">
        <x:v>DEFAULT</x:v>
      </x:c>
      <x:c r="F107" s="17" t="str">
        <x:v>未命中拒绝或人工审核规则</x:v>
      </x:c>
      <x:c r="G107" s="17" t="str">
        <x:v>REQ_00900102</x:v>
      </x:c>
    </x:row>
    <x:row r="108">
      <x:c r="A108" s="17" t="str">
        <x:v>APP2025000104</x:v>
      </x:c>
      <x:c r="B108" s="20" t="n">
        <x:v>45838.66875</x:v>
      </x:c>
      <x:c r="C108" s="17" t="str">
        <x:v>v1.6</x:v>
      </x:c>
      <x:c r="D108" s="17" t="str">
        <x:v>PASS</x:v>
      </x:c>
      <x:c r="E108" s="17" t="str">
        <x:v>DEFAULT</x:v>
      </x:c>
      <x:c r="F108" s="17" t="str">
        <x:v>未命中拒绝或人工审核规则</x:v>
      </x:c>
      <x:c r="G108" s="17" t="str">
        <x:v>REQ_00900103</x:v>
      </x:c>
    </x:row>
    <x:row r="109">
      <x:c r="A109" s="17" t="str">
        <x:v>APP2025000105</x:v>
      </x:c>
      <x:c r="B109" s="20" t="n">
        <x:v>45683.413194444445</x:v>
      </x:c>
      <x:c r="C109" s="17" t="str">
        <x:v>v1.6</x:v>
      </x:c>
      <x:c r="D109" s="17" t="str">
        <x:v>PASS</x:v>
      </x:c>
      <x:c r="E109" s="17" t="str">
        <x:v>DEFAULT</x:v>
      </x:c>
      <x:c r="F109" s="17" t="str">
        <x:v>未命中拒绝或人工审核规则</x:v>
      </x:c>
      <x:c r="G109" s="17" t="str">
        <x:v>REQ_00900104</x:v>
      </x:c>
    </x:row>
    <x:row r="110">
      <x:c r="A110" s="17" t="str">
        <x:v>APP2025000106</x:v>
      </x:c>
      <x:c r="B110" s="20" t="n">
        <x:v>45759.68958333333</x:v>
      </x:c>
      <x:c r="C110" s="17" t="str">
        <x:v>v1.6</x:v>
      </x:c>
      <x:c r="D110" s="17" t="str">
        <x:v>REVIEW</x:v>
      </x:c>
      <x:c r="E110" s="17" t="str">
        <x:v>R002</x:v>
      </x:c>
      <x:c r="F110" s="17" t="str">
        <x:v>负债收入比 84.3% 超过80%</x:v>
      </x:c>
      <x:c r="G110" s="17" t="str">
        <x:v>REQ_00900105</x:v>
      </x:c>
    </x:row>
    <x:row r="111">
      <x:c r="A111" s="17" t="str">
        <x:v>APP2025000107</x:v>
      </x:c>
      <x:c r="B111" s="20" t="n">
        <x:v>45783.40833333333</x:v>
      </x:c>
      <x:c r="C111" s="17" t="str">
        <x:v>v1.6</x:v>
      </x:c>
      <x:c r="D111" s="17" t="str">
        <x:v>PASS</x:v>
      </x:c>
      <x:c r="E111" s="17" t="str">
        <x:v>DEFAULT</x:v>
      </x:c>
      <x:c r="F111" s="17" t="str">
        <x:v>未命中拒绝或人工审核规则</x:v>
      </x:c>
      <x:c r="G111" s="17" t="str">
        <x:v>REQ_00900106</x:v>
      </x:c>
    </x:row>
    <x:row r="112">
      <x:c r="A112" s="17" t="str">
        <x:v>APP2025000108</x:v>
      </x:c>
      <x:c r="B112" s="20" t="n">
        <x:v>45741.4625</x:v>
      </x:c>
      <x:c r="C112" s="17" t="str">
        <x:v>v1.6</x:v>
      </x:c>
      <x:c r="D112" s="17" t="str">
        <x:v>PASS</x:v>
      </x:c>
      <x:c r="E112" s="17" t="str">
        <x:v>DEFAULT</x:v>
      </x:c>
      <x:c r="F112" s="17" t="str">
        <x:v>未命中拒绝或人工审核规则</x:v>
      </x:c>
      <x:c r="G112" s="17" t="str">
        <x:v>REQ_00900107</x:v>
      </x:c>
    </x:row>
    <x:row r="113">
      <x:c r="A113" s="17" t="str">
        <x:v>APP2025000109</x:v>
      </x:c>
      <x:c r="B113" s="20" t="n">
        <x:v>45738.665972222225</x:v>
      </x:c>
      <x:c r="C113" s="17" t="str">
        <x:v>v1.6</x:v>
      </x:c>
      <x:c r="D113" s="17" t="str">
        <x:v>PASS</x:v>
      </x:c>
      <x:c r="E113" s="17" t="str">
        <x:v>DEFAULT</x:v>
      </x:c>
      <x:c r="F113" s="17" t="str">
        <x:v>未命中拒绝或人工审核规则</x:v>
      </x:c>
      <x:c r="G113" s="17" t="str">
        <x:v>REQ_00900108</x:v>
      </x:c>
    </x:row>
    <x:row r="114">
      <x:c r="A114" s="17" t="str">
        <x:v>APP2025000110</x:v>
      </x:c>
      <x:c r="B114" s="20" t="n">
        <x:v>45679.743055555555</x:v>
      </x:c>
      <x:c r="C114" s="17" t="str">
        <x:v>v1.6</x:v>
      </x:c>
      <x:c r="D114" s="17" t="str">
        <x:v>PASS</x:v>
      </x:c>
      <x:c r="E114" s="17" t="str">
        <x:v>DEFAULT</x:v>
      </x:c>
      <x:c r="F114" s="17" t="str">
        <x:v>未命中拒绝或人工审核规则</x:v>
      </x:c>
      <x:c r="G114" s="17" t="str">
        <x:v>REQ_00900109</x:v>
      </x:c>
    </x:row>
    <x:row r="115">
      <x:c r="A115" s="17" t="str">
        <x:v>APP2025000111</x:v>
      </x:c>
      <x:c r="B115" s="20" t="n">
        <x:v>45747.36319444444</x:v>
      </x:c>
      <x:c r="C115" s="17" t="str">
        <x:v>v1.6</x:v>
      </x:c>
      <x:c r="D115" s="17" t="str">
        <x:v>PASS</x:v>
      </x:c>
      <x:c r="E115" s="17" t="str">
        <x:v>DEFAULT</x:v>
      </x:c>
      <x:c r="F115" s="17" t="str">
        <x:v>未命中拒绝或人工审核规则</x:v>
      </x:c>
      <x:c r="G115" s="17" t="str">
        <x:v>REQ_00900110</x:v>
      </x:c>
    </x:row>
    <x:row r="116">
      <x:c r="A116" s="17" t="str">
        <x:v>APP2025000112</x:v>
      </x:c>
      <x:c r="B116" s="20" t="n">
        <x:v>45684.486805555556</x:v>
      </x:c>
      <x:c r="C116" s="17" t="str">
        <x:v>v1.6</x:v>
      </x:c>
      <x:c r="D116" s="17" t="str">
        <x:v>REVIEW</x:v>
      </x:c>
      <x:c r="E116" s="17" t="str">
        <x:v>R004</x:v>
      </x:c>
      <x:c r="F116" s="17" t="str">
        <x:v>信用评分 546 进入人工复核区间</x:v>
      </x:c>
      <x:c r="G116" s="17" t="str">
        <x:v>REQ_00900111</x:v>
      </x:c>
    </x:row>
    <x:row r="117">
      <x:c r="A117" s="17" t="str">
        <x:v>APP2025000113</x:v>
      </x:c>
      <x:c r="B117" s="20" t="n">
        <x:v>45669.6625</x:v>
      </x:c>
      <x:c r="C117" s="17" t="str">
        <x:v>v1.6</x:v>
      </x:c>
      <x:c r="D117" s="17" t="str">
        <x:v>REVIEW</x:v>
      </x:c>
      <x:c r="E117" s="17" t="str">
        <x:v>R002</x:v>
      </x:c>
      <x:c r="F117" s="17" t="str">
        <x:v>负债收入比 98% 超过80%</x:v>
      </x:c>
      <x:c r="G117" s="17" t="str">
        <x:v>REQ_00900112</x:v>
      </x:c>
    </x:row>
    <x:row r="118">
      <x:c r="A118" s="17" t="str">
        <x:v>APP2025000114</x:v>
      </x:c>
      <x:c r="B118" s="20" t="n">
        <x:v>45775.370833333334</x:v>
      </x:c>
      <x:c r="C118" s="17" t="str">
        <x:v>v1.6</x:v>
      </x:c>
      <x:c r="D118" s="17" t="str">
        <x:v>PASS</x:v>
      </x:c>
      <x:c r="E118" s="17" t="str">
        <x:v>DEFAULT</x:v>
      </x:c>
      <x:c r="F118" s="17" t="str">
        <x:v>未命中拒绝或人工审核规则</x:v>
      </x:c>
      <x:c r="G118" s="17" t="str">
        <x:v>REQ_00900113</x:v>
      </x:c>
    </x:row>
    <x:row r="119">
      <x:c r="A119" s="17" t="str">
        <x:v>APP2025000115</x:v>
      </x:c>
      <x:c r="B119" s="20" t="n">
        <x:v>45749.43263888889</x:v>
      </x:c>
      <x:c r="C119" s="17" t="str">
        <x:v>v1.6</x:v>
      </x:c>
      <x:c r="D119" s="17" t="str">
        <x:v>PASS</x:v>
      </x:c>
      <x:c r="E119" s="17" t="str">
        <x:v>DEFAULT</x:v>
      </x:c>
      <x:c r="F119" s="17" t="str">
        <x:v>未命中拒绝或人工审核规则</x:v>
      </x:c>
      <x:c r="G119" s="17" t="str">
        <x:v>REQ_00900114</x:v>
      </x:c>
    </x:row>
    <x:row r="120">
      <x:c r="A120" s="17" t="str">
        <x:v>APP2025000116</x:v>
      </x:c>
      <x:c r="B120" s="20" t="n">
        <x:v>45765.43125</x:v>
      </x:c>
      <x:c r="C120" s="17" t="str">
        <x:v>v1.6</x:v>
      </x:c>
      <x:c r="D120" s="17" t="str">
        <x:v>REVIEW</x:v>
      </x:c>
      <x:c r="E120" s="17" t="str">
        <x:v>R002</x:v>
      </x:c>
      <x:c r="F120" s="17" t="str">
        <x:v>负债收入比 82.7% 超过80%</x:v>
      </x:c>
      <x:c r="G120" s="17" t="str">
        <x:v>REQ_00900115</x:v>
      </x:c>
    </x:row>
    <x:row r="121">
      <x:c r="A121" s="17" t="str">
        <x:v>APP2025000117</x:v>
      </x:c>
      <x:c r="B121" s="20" t="n">
        <x:v>45717.74652777778</x:v>
      </x:c>
      <x:c r="C121" s="17" t="str">
        <x:v>v1.6</x:v>
      </x:c>
      <x:c r="D121" s="17" t="str">
        <x:v>PASS</x:v>
      </x:c>
      <x:c r="E121" s="17" t="str">
        <x:v>DEFAULT</x:v>
      </x:c>
      <x:c r="F121" s="17" t="str">
        <x:v>未命中拒绝或人工审核规则</x:v>
      </x:c>
      <x:c r="G121" s="17" t="str">
        <x:v>REQ_00900116</x:v>
      </x:c>
    </x:row>
    <x:row r="122">
      <x:c r="A122" s="17" t="str">
        <x:v>APP2025000118</x:v>
      </x:c>
      <x:c r="B122" s="20" t="n">
        <x:v>45829.381944444445</x:v>
      </x:c>
      <x:c r="C122" s="17" t="str">
        <x:v>v1.6</x:v>
      </x:c>
      <x:c r="D122" s="17" t="str">
        <x:v>PASS</x:v>
      </x:c>
      <x:c r="E122" s="17" t="str">
        <x:v>DEFAULT</x:v>
      </x:c>
      <x:c r="F122" s="17" t="str">
        <x:v>未命中拒绝或人工审核规则</x:v>
      </x:c>
      <x:c r="G122" s="17" t="str">
        <x:v>REQ_00900117</x:v>
      </x:c>
    </x:row>
    <x:row r="123">
      <x:c r="A123" s="17" t="str">
        <x:v>APP2025000119</x:v>
      </x:c>
      <x:c r="B123" s="20" t="n">
        <x:v>45778.353472222225</x:v>
      </x:c>
      <x:c r="C123" s="17" t="str">
        <x:v>v1.6</x:v>
      </x:c>
      <x:c r="D123" s="17" t="str">
        <x:v>PASS</x:v>
      </x:c>
      <x:c r="E123" s="17" t="str">
        <x:v>DEFAULT</x:v>
      </x:c>
      <x:c r="F123" s="17" t="str">
        <x:v>未命中拒绝或人工审核规则</x:v>
      </x:c>
      <x:c r="G123" s="17" t="str">
        <x:v>REQ_00900118</x:v>
      </x:c>
    </x:row>
    <x:row r="124">
      <x:c r="A124" s="17" t="str">
        <x:v>APP2025000120</x:v>
      </x:c>
      <x:c r="B124" s="20" t="n">
        <x:v>45679.57847222222</x:v>
      </x:c>
      <x:c r="C124" s="17" t="str">
        <x:v>v1.6</x:v>
      </x:c>
      <x:c r="D124" s="17" t="str">
        <x:v>PASS</x:v>
      </x:c>
      <x:c r="E124" s="17" t="str">
        <x:v>DEFAULT</x:v>
      </x:c>
      <x:c r="F124" s="17" t="str">
        <x:v>未命中拒绝或人工审核规则</x:v>
      </x:c>
      <x:c r="G124" s="17" t="str">
        <x:v>REQ_00900119</x:v>
      </x:c>
    </x:row>
    <x:row r="125">
      <x:c r="A125" s="17" t="str">
        <x:v>APP2025000121</x:v>
      </x:c>
      <x:c r="B125" s="20" t="n">
        <x:v>45784.68819444445</x:v>
      </x:c>
      <x:c r="C125" s="17" t="str">
        <x:v>v1.6</x:v>
      </x:c>
      <x:c r="D125" s="17" t="str">
        <x:v>PASS</x:v>
      </x:c>
      <x:c r="E125" s="17" t="str">
        <x:v>DEFAULT</x:v>
      </x:c>
      <x:c r="F125" s="17" t="str">
        <x:v>未命中拒绝或人工审核规则</x:v>
      </x:c>
      <x:c r="G125" s="17" t="str">
        <x:v>REQ_00900120</x:v>
      </x:c>
    </x:row>
    <x:row r="126">
      <x:c r="A126" s="17" t="str">
        <x:v>APP2025000122</x:v>
      </x:c>
      <x:c r="B126" s="20" t="n">
        <x:v>45701.464583333334</x:v>
      </x:c>
      <x:c r="C126" s="17" t="str">
        <x:v>v1.6</x:v>
      </x:c>
      <x:c r="D126" s="17" t="str">
        <x:v>PASS</x:v>
      </x:c>
      <x:c r="E126" s="17" t="str">
        <x:v>DEFAULT</x:v>
      </x:c>
      <x:c r="F126" s="17" t="str">
        <x:v>未命中拒绝或人工审核规则</x:v>
      </x:c>
      <x:c r="G126" s="17" t="str">
        <x:v>REQ_00900121</x:v>
      </x:c>
    </x:row>
    <x:row r="127">
      <x:c r="A127" s="17" t="str">
        <x:v>APP2025000123</x:v>
      </x:c>
      <x:c r="B127" s="20" t="n">
        <x:v>45829.69583333333</x:v>
      </x:c>
      <x:c r="C127" s="17" t="str">
        <x:v>v1.6</x:v>
      </x:c>
      <x:c r="D127" s="17" t="str">
        <x:v>PASS</x:v>
      </x:c>
      <x:c r="E127" s="17" t="str">
        <x:v>DEFAULT</x:v>
      </x:c>
      <x:c r="F127" s="17" t="str">
        <x:v>未命中拒绝或人工审核规则</x:v>
      </x:c>
      <x:c r="G127" s="17" t="str">
        <x:v>REQ_00900122</x:v>
      </x:c>
    </x:row>
    <x:row r="128">
      <x:c r="A128" s="17" t="str">
        <x:v>APP2025000124</x:v>
      </x:c>
      <x:c r="B128" s="20" t="n">
        <x:v>45765.549305555556</x:v>
      </x:c>
      <x:c r="C128" s="17" t="str">
        <x:v>v1.6</x:v>
      </x:c>
      <x:c r="D128" s="17" t="str">
        <x:v>REVIEW</x:v>
      </x:c>
      <x:c r="E128" s="17" t="str">
        <x:v>R002</x:v>
      </x:c>
      <x:c r="F128" s="17" t="str">
        <x:v>负债收入比 99.4% 超过80%</x:v>
      </x:c>
      <x:c r="G128" s="17" t="str">
        <x:v>REQ_00900123</x:v>
      </x:c>
    </x:row>
    <x:row r="129">
      <x:c r="A129" s="17" t="str">
        <x:v>APP2025000125</x:v>
      </x:c>
      <x:c r="B129" s="20" t="n">
        <x:v>45816.40625</x:v>
      </x:c>
      <x:c r="C129" s="17" t="str">
        <x:v>v1.6</x:v>
      </x:c>
      <x:c r="D129" s="17" t="str">
        <x:v>REJECT</x:v>
      </x:c>
      <x:c r="E129" s="17" t="str">
        <x:v>R001</x:v>
      </x:c>
      <x:c r="F129" s="17" t="str">
        <x:v>近12个月逾期 5 次，达到3次拒绝阈值</x:v>
      </x:c>
      <x:c r="G129" s="17" t="str">
        <x:v>REQ_00900124</x:v>
      </x:c>
    </x:row>
    <x:row r="130">
      <x:c r="A130" s="17" t="str">
        <x:v>APP2025000126</x:v>
      </x:c>
      <x:c r="B130" s="20" t="n">
        <x:v>45702.70486111111</x:v>
      </x:c>
      <x:c r="C130" s="17" t="str">
        <x:v>v1.6</x:v>
      </x:c>
      <x:c r="D130" s="17" t="str">
        <x:v>PASS</x:v>
      </x:c>
      <x:c r="E130" s="17" t="str">
        <x:v>DEFAULT</x:v>
      </x:c>
      <x:c r="F130" s="17" t="str">
        <x:v>未命中拒绝或人工审核规则</x:v>
      </x:c>
      <x:c r="G130" s="17" t="str">
        <x:v>REQ_00900125</x:v>
      </x:c>
    </x:row>
    <x:row r="131">
      <x:c r="A131" s="17" t="str">
        <x:v>APP2025000127</x:v>
      </x:c>
      <x:c r="B131" s="20" t="n">
        <x:v>45828.60486111111</x:v>
      </x:c>
      <x:c r="C131" s="17" t="str">
        <x:v>v1.6</x:v>
      </x:c>
      <x:c r="D131" s="17" t="str">
        <x:v>PASS</x:v>
      </x:c>
      <x:c r="E131" s="17" t="str">
        <x:v>DEFAULT</x:v>
      </x:c>
      <x:c r="F131" s="17" t="str">
        <x:v>未命中拒绝或人工审核规则</x:v>
      </x:c>
      <x:c r="G131" s="17" t="str">
        <x:v>REQ_00900126</x:v>
      </x:c>
    </x:row>
    <x:row r="132">
      <x:c r="A132" s="17" t="str">
        <x:v>APP2025000128</x:v>
      </x:c>
      <x:c r="B132" s="20" t="n">
        <x:v>45679.709027777775</x:v>
      </x:c>
      <x:c r="C132" s="17" t="str">
        <x:v>v1.6</x:v>
      </x:c>
      <x:c r="D132" s="17" t="str">
        <x:v>REVIEW</x:v>
      </x:c>
      <x:c r="E132" s="17" t="str">
        <x:v>R002</x:v>
      </x:c>
      <x:c r="F132" s="17" t="str">
        <x:v>负债收入比 84.7% 超过80%</x:v>
      </x:c>
      <x:c r="G132" s="17" t="str">
        <x:v>REQ_00900127</x:v>
      </x:c>
    </x:row>
    <x:row r="133">
      <x:c r="A133" s="17" t="str">
        <x:v>APP2025000129</x:v>
      </x:c>
      <x:c r="B133" s="20" t="n">
        <x:v>45793.64236111111</x:v>
      </x:c>
      <x:c r="C133" s="17" t="str">
        <x:v>v1.6</x:v>
      </x:c>
      <x:c r="D133" s="17" t="str">
        <x:v>PASS</x:v>
      </x:c>
      <x:c r="E133" s="17" t="str">
        <x:v>DEFAULT</x:v>
      </x:c>
      <x:c r="F133" s="17" t="str">
        <x:v>未命中拒绝或人工审核规则</x:v>
      </x:c>
      <x:c r="G133" s="17" t="str">
        <x:v>REQ_00900128</x:v>
      </x:c>
    </x:row>
    <x:row r="134">
      <x:c r="A134" s="17" t="str">
        <x:v>APP2025000130</x:v>
      </x:c>
      <x:c r="B134" s="20" t="n">
        <x:v>45706.654861111114</x:v>
      </x:c>
      <x:c r="C134" s="17" t="str">
        <x:v>v1.6</x:v>
      </x:c>
      <x:c r="D134" s="17" t="str">
        <x:v>PASS</x:v>
      </x:c>
      <x:c r="E134" s="17" t="str">
        <x:v>DEFAULT</x:v>
      </x:c>
      <x:c r="F134" s="17" t="str">
        <x:v>未命中拒绝或人工审核规则</x:v>
      </x:c>
      <x:c r="G134" s="17" t="str">
        <x:v>REQ_00900129</x:v>
      </x:c>
    </x:row>
    <x:row r="135">
      <x:c r="A135" s="17" t="str">
        <x:v>APP2025000131</x:v>
      </x:c>
      <x:c r="B135" s="20" t="n">
        <x:v>45674.39513888889</x:v>
      </x:c>
      <x:c r="C135" s="17" t="str">
        <x:v>v1.6</x:v>
      </x:c>
      <x:c r="D135" s="17" t="str">
        <x:v>PASS</x:v>
      </x:c>
      <x:c r="E135" s="17" t="str">
        <x:v>DEFAULT</x:v>
      </x:c>
      <x:c r="F135" s="17" t="str">
        <x:v>未命中拒绝或人工审核规则</x:v>
      </x:c>
      <x:c r="G135" s="17" t="str">
        <x:v>REQ_00900130</x:v>
      </x:c>
    </x:row>
    <x:row r="136">
      <x:c r="A136" s="17" t="str">
        <x:v>APP2025000132</x:v>
      </x:c>
      <x:c r="B136" s="20" t="n">
        <x:v>45769.68680555555</x:v>
      </x:c>
      <x:c r="C136" s="17" t="str">
        <x:v>v1.6</x:v>
      </x:c>
      <x:c r="D136" s="17" t="str">
        <x:v>REVIEW</x:v>
      </x:c>
      <x:c r="E136" s="17" t="str">
        <x:v>R002-NULL</x:v>
      </x:c>
      <x:c r="F136" s="17" t="str">
        <x:v>负债收入比缺失，进入人工审核</x:v>
      </x:c>
      <x:c r="G136" s="17" t="str">
        <x:v>REQ_00900131</x:v>
      </x:c>
    </x:row>
    <x:row r="137">
      <x:c r="A137" s="17" t="str">
        <x:v>APP2025000133</x:v>
      </x:c>
      <x:c r="B137" s="20" t="n">
        <x:v>45672.427777777775</x:v>
      </x:c>
      <x:c r="C137" s="17" t="str">
        <x:v>v1.6</x:v>
      </x:c>
      <x:c r="D137" s="17" t="str">
        <x:v>REVIEW</x:v>
      </x:c>
      <x:c r="E137" s="17" t="str">
        <x:v>R002-NULL</x:v>
      </x:c>
      <x:c r="F137" s="17" t="str">
        <x:v>负债收入比缺失，进入人工审核</x:v>
      </x:c>
      <x:c r="G137" s="17" t="str">
        <x:v>REQ_00900132</x:v>
      </x:c>
    </x:row>
    <x:row r="138">
      <x:c r="A138" s="17" t="str">
        <x:v>APP2025000134</x:v>
      </x:c>
      <x:c r="B138" s="20" t="n">
        <x:v>45681.67916666667</x:v>
      </x:c>
      <x:c r="C138" s="17" t="str">
        <x:v>v1.6</x:v>
      </x:c>
      <x:c r="D138" s="17" t="str">
        <x:v>PASS</x:v>
      </x:c>
      <x:c r="E138" s="17" t="str">
        <x:v>DEFAULT</x:v>
      </x:c>
      <x:c r="F138" s="17" t="str">
        <x:v>未命中拒绝或人工审核规则</x:v>
      </x:c>
      <x:c r="G138" s="17" t="str">
        <x:v>REQ_00900133</x:v>
      </x:c>
    </x:row>
    <x:row r="139">
      <x:c r="A139" s="17" t="str">
        <x:v>APP2025000135</x:v>
      </x:c>
      <x:c r="B139" s="20" t="n">
        <x:v>45695.65069444444</x:v>
      </x:c>
      <x:c r="C139" s="17" t="str">
        <x:v>v1.6</x:v>
      </x:c>
      <x:c r="D139" s="17" t="str">
        <x:v>REVIEW</x:v>
      </x:c>
      <x:c r="E139" s="17" t="str">
        <x:v>R002</x:v>
      </x:c>
      <x:c r="F139" s="17" t="str">
        <x:v>负债收入比 87.1% 超过80%</x:v>
      </x:c>
      <x:c r="G139" s="17" t="str">
        <x:v>REQ_00900134</x:v>
      </x:c>
    </x:row>
    <x:row r="140">
      <x:c r="A140" s="17" t="str">
        <x:v>APP2025000136</x:v>
      </x:c>
      <x:c r="B140" s="20" t="n">
        <x:v>45787.361805555556</x:v>
      </x:c>
      <x:c r="C140" s="17" t="str">
        <x:v>v1.6</x:v>
      </x:c>
      <x:c r="D140" s="17" t="str">
        <x:v>PASS</x:v>
      </x:c>
      <x:c r="E140" s="17" t="str">
        <x:v>DEFAULT</x:v>
      </x:c>
      <x:c r="F140" s="17" t="str">
        <x:v>未命中拒绝或人工审核规则</x:v>
      </x:c>
      <x:c r="G140" s="17" t="str">
        <x:v>REQ_00900135</x:v>
      </x:c>
    </x:row>
    <x:row r="141">
      <x:c r="A141" s="17" t="str">
        <x:v>APP2025000137</x:v>
      </x:c>
      <x:c r="B141" s="20" t="n">
        <x:v>45750.4375</x:v>
      </x:c>
      <x:c r="C141" s="17" t="str">
        <x:v>v1.6</x:v>
      </x:c>
      <x:c r="D141" s="17" t="str">
        <x:v>REVIEW</x:v>
      </x:c>
      <x:c r="E141" s="17" t="str">
        <x:v>R002</x:v>
      </x:c>
      <x:c r="F141" s="17" t="str">
        <x:v>负债收入比 97.4% 超过80%</x:v>
      </x:c>
      <x:c r="G141" s="17" t="str">
        <x:v>REQ_00900136</x:v>
      </x:c>
    </x:row>
    <x:row r="142">
      <x:c r="A142" s="17" t="str">
        <x:v>APP2025000138</x:v>
      </x:c>
      <x:c r="B142" s="20" t="n">
        <x:v>45742.55</x:v>
      </x:c>
      <x:c r="C142" s="17" t="str">
        <x:v>v1.6</x:v>
      </x:c>
      <x:c r="D142" s="17" t="str">
        <x:v>PASS</x:v>
      </x:c>
      <x:c r="E142" s="17" t="str">
        <x:v>DEFAULT</x:v>
      </x:c>
      <x:c r="F142" s="17" t="str">
        <x:v>未命中拒绝或人工审核规则</x:v>
      </x:c>
      <x:c r="G142" s="17" t="str">
        <x:v>REQ_00900137</x:v>
      </x:c>
    </x:row>
    <x:row r="143">
      <x:c r="A143" s="17" t="str">
        <x:v>APP2025000139</x:v>
      </x:c>
      <x:c r="B143" s="20" t="n">
        <x:v>45821.41180555556</x:v>
      </x:c>
      <x:c r="C143" s="17" t="str">
        <x:v>v1.6</x:v>
      </x:c>
      <x:c r="D143" s="17" t="str">
        <x:v>REJECT</x:v>
      </x:c>
      <x:c r="E143" s="17" t="str">
        <x:v>R003</x:v>
      </x:c>
      <x:c r="F143" s="17" t="str">
        <x:v>信用评分 441 低于500</x:v>
      </x:c>
      <x:c r="G143" s="17" t="str">
        <x:v>REQ_00900138</x:v>
      </x:c>
    </x:row>
    <x:row r="144">
      <x:c r="A144" s="17" t="str">
        <x:v>APP2025000140</x:v>
      </x:c>
      <x:c r="B144" s="20" t="n">
        <x:v>45785.67083333333</x:v>
      </x:c>
      <x:c r="C144" s="17" t="str">
        <x:v>v1.6</x:v>
      </x:c>
      <x:c r="D144" s="17" t="str">
        <x:v>PASS</x:v>
      </x:c>
      <x:c r="E144" s="17" t="str">
        <x:v>DEFAULT</x:v>
      </x:c>
      <x:c r="F144" s="17" t="str">
        <x:v>未命中拒绝或人工审核规则</x:v>
      </x:c>
      <x:c r="G144" s="17" t="str">
        <x:v>REQ_00900139</x:v>
      </x:c>
    </x:row>
    <x:row r="145">
      <x:c r="A145" s="17" t="str">
        <x:v>APP2025000141</x:v>
      </x:c>
      <x:c r="B145" s="20" t="n">
        <x:v>45677.43958333333</x:v>
      </x:c>
      <x:c r="C145" s="17" t="str">
        <x:v>v1.6</x:v>
      </x:c>
      <x:c r="D145" s="17" t="str">
        <x:v>PASS</x:v>
      </x:c>
      <x:c r="E145" s="17" t="str">
        <x:v>DEFAULT</x:v>
      </x:c>
      <x:c r="F145" s="17" t="str">
        <x:v>未命中拒绝或人工审核规则</x:v>
      </x:c>
      <x:c r="G145" s="17" t="str">
        <x:v>REQ_00900140</x:v>
      </x:c>
    </x:row>
    <x:row r="146">
      <x:c r="A146" s="17" t="str">
        <x:v>APP2025000142</x:v>
      </x:c>
      <x:c r="B146" s="20" t="n">
        <x:v>45808.384722222225</x:v>
      </x:c>
      <x:c r="C146" s="17" t="str">
        <x:v>v1.6</x:v>
      </x:c>
      <x:c r="D146" s="17" t="str">
        <x:v>PASS</x:v>
      </x:c>
      <x:c r="E146" s="17" t="str">
        <x:v>DEFAULT</x:v>
      </x:c>
      <x:c r="F146" s="17" t="str">
        <x:v>未命中拒绝或人工审核规则</x:v>
      </x:c>
      <x:c r="G146" s="17" t="str">
        <x:v>REQ_00900141</x:v>
      </x:c>
    </x:row>
    <x:row r="147">
      <x:c r="A147" s="17" t="str">
        <x:v>APP2025000143</x:v>
      </x:c>
      <x:c r="B147" s="20" t="n">
        <x:v>45666.34027777778</x:v>
      </x:c>
      <x:c r="C147" s="17" t="str">
        <x:v>v1.6</x:v>
      </x:c>
      <x:c r="D147" s="17" t="str">
        <x:v>PASS</x:v>
      </x:c>
      <x:c r="E147" s="17" t="str">
        <x:v>DEFAULT</x:v>
      </x:c>
      <x:c r="F147" s="17" t="str">
        <x:v>未命中拒绝或人工审核规则</x:v>
      </x:c>
      <x:c r="G147" s="17" t="str">
        <x:v>REQ_00900142</x:v>
      </x:c>
    </x:row>
    <x:row r="148">
      <x:c r="A148" s="17" t="str">
        <x:v>APP2025000144</x:v>
      </x:c>
      <x:c r="B148" s="20" t="n">
        <x:v>45808.74652777778</x:v>
      </x:c>
      <x:c r="C148" s="17" t="str">
        <x:v>v1.6</x:v>
      </x:c>
      <x:c r="D148" s="17" t="str">
        <x:v>REJECT</x:v>
      </x:c>
      <x:c r="E148" s="17" t="str">
        <x:v>R001</x:v>
      </x:c>
      <x:c r="F148" s="17" t="str">
        <x:v>近12个月逾期 4 次，达到3次拒绝阈值</x:v>
      </x:c>
      <x:c r="G148" s="17" t="str">
        <x:v>REQ_00900143</x:v>
      </x:c>
    </x:row>
    <x:row r="149">
      <x:c r="A149" s="17" t="str">
        <x:v>APP2025000145</x:v>
      </x:c>
      <x:c r="B149" s="20" t="n">
        <x:v>45680.59097222222</x:v>
      </x:c>
      <x:c r="C149" s="17" t="str">
        <x:v>v1.6</x:v>
      </x:c>
      <x:c r="D149" s="17" t="str">
        <x:v>PASS</x:v>
      </x:c>
      <x:c r="E149" s="17" t="str">
        <x:v>DEFAULT</x:v>
      </x:c>
      <x:c r="F149" s="17" t="str">
        <x:v>未命中拒绝或人工审核规则</x:v>
      </x:c>
      <x:c r="G149" s="17" t="str">
        <x:v>REQ_00900144</x:v>
      </x:c>
    </x:row>
    <x:row r="150">
      <x:c r="A150" s="17" t="str">
        <x:v>APP2025000146</x:v>
      </x:c>
      <x:c r="B150" s="20" t="n">
        <x:v>45752.631944444445</x:v>
      </x:c>
      <x:c r="C150" s="17" t="str">
        <x:v>v1.6</x:v>
      </x:c>
      <x:c r="D150" s="17" t="str">
        <x:v>REJECT</x:v>
      </x:c>
      <x:c r="E150" s="17" t="str">
        <x:v>R001</x:v>
      </x:c>
      <x:c r="F150" s="17" t="str">
        <x:v>近12个月逾期 5 次，达到3次拒绝阈值</x:v>
      </x:c>
      <x:c r="G150" s="17" t="str">
        <x:v>REQ_00900145</x:v>
      </x:c>
    </x:row>
    <x:row r="151">
      <x:c r="A151" s="17" t="str">
        <x:v>APP2025000147</x:v>
      </x:c>
      <x:c r="B151" s="20" t="n">
        <x:v>45762.66875</x:v>
      </x:c>
      <x:c r="C151" s="17" t="str">
        <x:v>v1.6</x:v>
      </x:c>
      <x:c r="D151" s="17" t="str">
        <x:v>PASS</x:v>
      </x:c>
      <x:c r="E151" s="17" t="str">
        <x:v>DEFAULT</x:v>
      </x:c>
      <x:c r="F151" s="17" t="str">
        <x:v>未命中拒绝或人工审核规则</x:v>
      </x:c>
      <x:c r="G151" s="17" t="str">
        <x:v>REQ_00900146</x:v>
      </x:c>
    </x:row>
    <x:row r="152">
      <x:c r="A152" s="17" t="str">
        <x:v>APP2025000148</x:v>
      </x:c>
      <x:c r="B152" s="20" t="n">
        <x:v>45772.44375</x:v>
      </x:c>
      <x:c r="C152" s="17" t="str">
        <x:v>v1.6</x:v>
      </x:c>
      <x:c r="D152" s="17" t="str">
        <x:v>PASS</x:v>
      </x:c>
      <x:c r="E152" s="17" t="str">
        <x:v>DEFAULT</x:v>
      </x:c>
      <x:c r="F152" s="17" t="str">
        <x:v>未命中拒绝或人工审核规则</x:v>
      </x:c>
      <x:c r="G152" s="17" t="str">
        <x:v>REQ_00900147</x:v>
      </x:c>
    </x:row>
    <x:row r="153">
      <x:c r="A153" s="17" t="str">
        <x:v>APP2025000149</x:v>
      </x:c>
      <x:c r="B153" s="20" t="n">
        <x:v>45758.73472222222</x:v>
      </x:c>
      <x:c r="C153" s="17" t="str">
        <x:v>v1.6</x:v>
      </x:c>
      <x:c r="D153" s="17" t="str">
        <x:v>PASS</x:v>
      </x:c>
      <x:c r="E153" s="17" t="str">
        <x:v>DEFAULT</x:v>
      </x:c>
      <x:c r="F153" s="17" t="str">
        <x:v>未命中拒绝或人工审核规则</x:v>
      </x:c>
      <x:c r="G153" s="17" t="str">
        <x:v>REQ_00900148</x:v>
      </x:c>
    </x:row>
    <x:row r="154">
      <x:c r="A154" s="17" t="str">
        <x:v>APP2025000150</x:v>
      </x:c>
      <x:c r="B154" s="20" t="n">
        <x:v>45724.70138888889</x:v>
      </x:c>
      <x:c r="C154" s="17" t="str">
        <x:v>v1.6</x:v>
      </x:c>
      <x:c r="D154" s="17" t="str">
        <x:v>PASS</x:v>
      </x:c>
      <x:c r="E154" s="17" t="str">
        <x:v>DEFAULT</x:v>
      </x:c>
      <x:c r="F154" s="17" t="str">
        <x:v>未命中拒绝或人工审核规则</x:v>
      </x:c>
      <x:c r="G154" s="17" t="str">
        <x:v>REQ_00900149</x:v>
      </x:c>
    </x:row>
    <x:row r="155">
      <x:c r="A155" s="17" t="str">
        <x:v>APP2025000151</x:v>
      </x:c>
      <x:c r="B155" s="20" t="n">
        <x:v>45683.407638888886</x:v>
      </x:c>
      <x:c r="C155" s="17" t="str">
        <x:v>v1.6</x:v>
      </x:c>
      <x:c r="D155" s="17" t="str">
        <x:v>PASS</x:v>
      </x:c>
      <x:c r="E155" s="17" t="str">
        <x:v>DEFAULT</x:v>
      </x:c>
      <x:c r="F155" s="17" t="str">
        <x:v>未命中拒绝或人工审核规则</x:v>
      </x:c>
      <x:c r="G155" s="17" t="str">
        <x:v>REQ_00900150</x:v>
      </x:c>
    </x:row>
    <x:row r="156">
      <x:c r="A156" s="17" t="str">
        <x:v>APP2025000152</x:v>
      </x:c>
      <x:c r="B156" s="20" t="n">
        <x:v>45699.69930555556</x:v>
      </x:c>
      <x:c r="C156" s="17" t="str">
        <x:v>v1.6</x:v>
      </x:c>
      <x:c r="D156" s="17" t="str">
        <x:v>PASS</x:v>
      </x:c>
      <x:c r="E156" s="17" t="str">
        <x:v>DEFAULT</x:v>
      </x:c>
      <x:c r="F156" s="17" t="str">
        <x:v>未命中拒绝或人工审核规则</x:v>
      </x:c>
      <x:c r="G156" s="17" t="str">
        <x:v>REQ_00900151</x:v>
      </x:c>
    </x:row>
    <x:row r="157">
      <x:c r="A157" s="17" t="str">
        <x:v>APP2025000153</x:v>
      </x:c>
      <x:c r="B157" s="20" t="n">
        <x:v>45757.646527777775</x:v>
      </x:c>
      <x:c r="C157" s="17" t="str">
        <x:v>v1.6</x:v>
      </x:c>
      <x:c r="D157" s="17" t="str">
        <x:v>REVIEW</x:v>
      </x:c>
      <x:c r="E157" s="17" t="str">
        <x:v>R002</x:v>
      </x:c>
      <x:c r="F157" s="17" t="str">
        <x:v>负债收入比 90.2% 超过80%</x:v>
      </x:c>
      <x:c r="G157" s="17" t="str">
        <x:v>REQ_00900152</x:v>
      </x:c>
    </x:row>
    <x:row r="158">
      <x:c r="A158" s="17" t="str">
        <x:v>APP2025000154</x:v>
      </x:c>
      <x:c r="B158" s="20" t="n">
        <x:v>45700.70138888889</x:v>
      </x:c>
      <x:c r="C158" s="17" t="str">
        <x:v>v1.6</x:v>
      </x:c>
      <x:c r="D158" s="17" t="str">
        <x:v>REJECT</x:v>
      </x:c>
      <x:c r="E158" s="17" t="str">
        <x:v>R003</x:v>
      </x:c>
      <x:c r="F158" s="17" t="str">
        <x:v>信用评分 454 低于500</x:v>
      </x:c>
      <x:c r="G158" s="17" t="str">
        <x:v>REQ_00900153</x:v>
      </x:c>
    </x:row>
    <x:row r="159">
      <x:c r="A159" s="17" t="str">
        <x:v>APP2025000155</x:v>
      </x:c>
      <x:c r="B159" s="20" t="n">
        <x:v>45785.509722222225</x:v>
      </x:c>
      <x:c r="C159" s="17" t="str">
        <x:v>v1.6</x:v>
      </x:c>
      <x:c r="D159" s="17" t="str">
        <x:v>REVIEW</x:v>
      </x:c>
      <x:c r="E159" s="17" t="str">
        <x:v>R002-NULL</x:v>
      </x:c>
      <x:c r="F159" s="17" t="str">
        <x:v>负债收入比缺失，进入人工审核</x:v>
      </x:c>
      <x:c r="G159" s="17" t="str">
        <x:v>REQ_00900154</x:v>
      </x:c>
    </x:row>
    <x:row r="160">
      <x:c r="A160" s="17" t="str">
        <x:v>APP2025000156</x:v>
      </x:c>
      <x:c r="B160" s="20" t="n">
        <x:v>45790.74444444444</x:v>
      </x:c>
      <x:c r="C160" s="17" t="str">
        <x:v>v1.6</x:v>
      </x:c>
      <x:c r="D160" s="17" t="str">
        <x:v>PASS</x:v>
      </x:c>
      <x:c r="E160" s="17" t="str">
        <x:v>DEFAULT</x:v>
      </x:c>
      <x:c r="F160" s="17" t="str">
        <x:v>未命中拒绝或人工审核规则</x:v>
      </x:c>
      <x:c r="G160" s="17" t="str">
        <x:v>REQ_00900155</x:v>
      </x:c>
    </x:row>
    <x:row r="161">
      <x:c r="A161" s="17" t="str">
        <x:v>APP2025000157</x:v>
      </x:c>
      <x:c r="B161" s="20" t="n">
        <x:v>45780.70416666667</x:v>
      </x:c>
      <x:c r="C161" s="17" t="str">
        <x:v>v1.6</x:v>
      </x:c>
      <x:c r="D161" s="17" t="str">
        <x:v>PASS</x:v>
      </x:c>
      <x:c r="E161" s="17" t="str">
        <x:v>DEFAULT</x:v>
      </x:c>
      <x:c r="F161" s="17" t="str">
        <x:v>未命中拒绝或人工审核规则</x:v>
      </x:c>
      <x:c r="G161" s="17" t="str">
        <x:v>REQ_00900156</x:v>
      </x:c>
    </x:row>
    <x:row r="162">
      <x:c r="A162" s="17" t="str">
        <x:v>APP2025000158</x:v>
      </x:c>
      <x:c r="B162" s="20" t="n">
        <x:v>45744.65972222222</x:v>
      </x:c>
      <x:c r="C162" s="17" t="str">
        <x:v>v1.6</x:v>
      </x:c>
      <x:c r="D162" s="17" t="str">
        <x:v>PASS</x:v>
      </x:c>
      <x:c r="E162" s="17" t="str">
        <x:v>DEFAULT</x:v>
      </x:c>
      <x:c r="F162" s="17" t="str">
        <x:v>未命中拒绝或人工审核规则</x:v>
      </x:c>
      <x:c r="G162" s="17" t="str">
        <x:v>REQ_00900157</x:v>
      </x:c>
    </x:row>
    <x:row r="163">
      <x:c r="A163" s="17" t="str">
        <x:v>APP2025000159</x:v>
      </x:c>
      <x:c r="B163" s="20" t="n">
        <x:v>45670.38402777778</x:v>
      </x:c>
      <x:c r="C163" s="17" t="str">
        <x:v>v1.6</x:v>
      </x:c>
      <x:c r="D163" s="17" t="str">
        <x:v>PASS</x:v>
      </x:c>
      <x:c r="E163" s="17" t="str">
        <x:v>DEFAULT</x:v>
      </x:c>
      <x:c r="F163" s="17" t="str">
        <x:v>未命中拒绝或人工审核规则</x:v>
      </x:c>
      <x:c r="G163" s="17" t="str">
        <x:v>REQ_00900158</x:v>
      </x:c>
    </x:row>
    <x:row r="164">
      <x:c r="A164" s="17" t="str">
        <x:v>APP2025000160</x:v>
      </x:c>
      <x:c r="B164" s="20" t="n">
        <x:v>45812.634722222225</x:v>
      </x:c>
      <x:c r="C164" s="17" t="str">
        <x:v>v1.6</x:v>
      </x:c>
      <x:c r="D164" s="17" t="str">
        <x:v>PASS</x:v>
      </x:c>
      <x:c r="E164" s="17" t="str">
        <x:v>DEFAULT</x:v>
      </x:c>
      <x:c r="F164" s="17" t="str">
        <x:v>未命中拒绝或人工审核规则</x:v>
      </x:c>
      <x:c r="G164" s="17" t="str">
        <x:v>REQ_00900159</x:v>
      </x:c>
    </x:row>
    <x:row r="165">
      <x:c r="A165" s="17" t="str">
        <x:v>APP2025000161</x:v>
      </x:c>
      <x:c r="B165" s="20" t="n">
        <x:v>45733.520833333336</x:v>
      </x:c>
      <x:c r="C165" s="17" t="str">
        <x:v>v1.6</x:v>
      </x:c>
      <x:c r="D165" s="17" t="str">
        <x:v>REVIEW</x:v>
      </x:c>
      <x:c r="E165" s="17" t="str">
        <x:v>R002</x:v>
      </x:c>
      <x:c r="F165" s="17" t="str">
        <x:v>负债收入比 94.6% 超过80%</x:v>
      </x:c>
      <x:c r="G165" s="17" t="str">
        <x:v>REQ_00900160</x:v>
      </x:c>
    </x:row>
    <x:row r="166">
      <x:c r="A166" s="17" t="str">
        <x:v>APP2025000162</x:v>
      </x:c>
      <x:c r="B166" s="20" t="n">
        <x:v>45791.47708333333</x:v>
      </x:c>
      <x:c r="C166" s="17" t="str">
        <x:v>v1.6</x:v>
      </x:c>
      <x:c r="D166" s="17" t="str">
        <x:v>PASS</x:v>
      </x:c>
      <x:c r="E166" s="17" t="str">
        <x:v>DEFAULT</x:v>
      </x:c>
      <x:c r="F166" s="17" t="str">
        <x:v>未命中拒绝或人工审核规则</x:v>
      </x:c>
      <x:c r="G166" s="17" t="str">
        <x:v>REQ_00900161</x:v>
      </x:c>
    </x:row>
    <x:row r="167">
      <x:c r="A167" s="17" t="str">
        <x:v>APP2025000163</x:v>
      </x:c>
      <x:c r="B167" s="20" t="n">
        <x:v>45677.57152777778</x:v>
      </x:c>
      <x:c r="C167" s="17" t="str">
        <x:v>v1.6</x:v>
      </x:c>
      <x:c r="D167" s="17" t="str">
        <x:v>PASS</x:v>
      </x:c>
      <x:c r="E167" s="17" t="str">
        <x:v>DEFAULT</x:v>
      </x:c>
      <x:c r="F167" s="17" t="str">
        <x:v>未命中拒绝或人工审核规则</x:v>
      </x:c>
      <x:c r="G167" s="17" t="str">
        <x:v>REQ_00900162</x:v>
      </x:c>
    </x:row>
    <x:row r="168">
      <x:c r="A168" s="17" t="str">
        <x:v>APP2025000164</x:v>
      </x:c>
      <x:c r="B168" s="20" t="n">
        <x:v>45709.44861111111</x:v>
      </x:c>
      <x:c r="C168" s="17" t="str">
        <x:v>v1.6</x:v>
      </x:c>
      <x:c r="D168" s="17" t="str">
        <x:v>PASS</x:v>
      </x:c>
      <x:c r="E168" s="17" t="str">
        <x:v>DEFAULT</x:v>
      </x:c>
      <x:c r="F168" s="17" t="str">
        <x:v>未命中拒绝或人工审核规则</x:v>
      </x:c>
      <x:c r="G168" s="17" t="str">
        <x:v>REQ_00900163</x:v>
      </x:c>
    </x:row>
    <x:row r="169">
      <x:c r="A169" s="17" t="str">
        <x:v>APP2025000165</x:v>
      </x:c>
      <x:c r="B169" s="20" t="n">
        <x:v>45836.56319444445</x:v>
      </x:c>
      <x:c r="C169" s="17" t="str">
        <x:v>v1.6</x:v>
      </x:c>
      <x:c r="D169" s="17" t="str">
        <x:v>PASS</x:v>
      </x:c>
      <x:c r="E169" s="17" t="str">
        <x:v>DEFAULT</x:v>
      </x:c>
      <x:c r="F169" s="17" t="str">
        <x:v>未命中拒绝或人工审核规则</x:v>
      </x:c>
      <x:c r="G169" s="17" t="str">
        <x:v>REQ_00900164</x:v>
      </x:c>
    </x:row>
    <x:row r="170">
      <x:c r="A170" s="17" t="str">
        <x:v>APP2025000166</x:v>
      </x:c>
      <x:c r="B170" s="20" t="n">
        <x:v>45712.65625</x:v>
      </x:c>
      <x:c r="C170" s="17" t="str">
        <x:v>v1.6</x:v>
      </x:c>
      <x:c r="D170" s="17" t="str">
        <x:v>PASS</x:v>
      </x:c>
      <x:c r="E170" s="17" t="str">
        <x:v>DEFAULT</x:v>
      </x:c>
      <x:c r="F170" s="17" t="str">
        <x:v>未命中拒绝或人工审核规则</x:v>
      </x:c>
      <x:c r="G170" s="17" t="str">
        <x:v>REQ_00900165</x:v>
      </x:c>
    </x:row>
    <x:row r="171">
      <x:c r="A171" s="17" t="str">
        <x:v>APP2025000167</x:v>
      </x:c>
      <x:c r="B171" s="20" t="n">
        <x:v>45824.614583333336</x:v>
      </x:c>
      <x:c r="C171" s="17" t="str">
        <x:v>v1.6</x:v>
      </x:c>
      <x:c r="D171" s="17" t="str">
        <x:v>PASS</x:v>
      </x:c>
      <x:c r="E171" s="17" t="str">
        <x:v>DEFAULT</x:v>
      </x:c>
      <x:c r="F171" s="17" t="str">
        <x:v>未命中拒绝或人工审核规则</x:v>
      </x:c>
      <x:c r="G171" s="17" t="str">
        <x:v>REQ_00900166</x:v>
      </x:c>
    </x:row>
    <x:row r="172">
      <x:c r="A172" s="17" t="str">
        <x:v>APP2025000168</x:v>
      </x:c>
      <x:c r="B172" s="20" t="n">
        <x:v>45754.626388888886</x:v>
      </x:c>
      <x:c r="C172" s="17" t="str">
        <x:v>v1.6</x:v>
      </x:c>
      <x:c r="D172" s="17" t="str">
        <x:v>REJECT</x:v>
      </x:c>
      <x:c r="E172" s="17" t="str">
        <x:v>R001</x:v>
      </x:c>
      <x:c r="F172" s="17" t="str">
        <x:v>近12个月逾期 5 次，达到3次拒绝阈值</x:v>
      </x:c>
      <x:c r="G172" s="17" t="str">
        <x:v>REQ_00900167</x:v>
      </x:c>
    </x:row>
    <x:row r="173">
      <x:c r="A173" s="17" t="str">
        <x:v>APP2025000169</x:v>
      </x:c>
      <x:c r="B173" s="20" t="n">
        <x:v>45758.71875</x:v>
      </x:c>
      <x:c r="C173" s="17" t="str">
        <x:v>v1.6</x:v>
      </x:c>
      <x:c r="D173" s="17" t="str">
        <x:v>PASS</x:v>
      </x:c>
      <x:c r="E173" s="17" t="str">
        <x:v>DEFAULT</x:v>
      </x:c>
      <x:c r="F173" s="17" t="str">
        <x:v>未命中拒绝或人工审核规则</x:v>
      </x:c>
      <x:c r="G173" s="17" t="str">
        <x:v>REQ_00900168</x:v>
      </x:c>
    </x:row>
    <x:row r="174">
      <x:c r="A174" s="17" t="str">
        <x:v>APP2025000170</x:v>
      </x:c>
      <x:c r="B174" s="20" t="n">
        <x:v>45718.51527777778</x:v>
      </x:c>
      <x:c r="C174" s="17" t="str">
        <x:v>v1.6</x:v>
      </x:c>
      <x:c r="D174" s="17" t="str">
        <x:v>PASS</x:v>
      </x:c>
      <x:c r="E174" s="17" t="str">
        <x:v>DEFAULT</x:v>
      </x:c>
      <x:c r="F174" s="17" t="str">
        <x:v>未命中拒绝或人工审核规则</x:v>
      </x:c>
      <x:c r="G174" s="17" t="str">
        <x:v>REQ_00900169</x:v>
      </x:c>
    </x:row>
    <x:row r="175">
      <x:c r="A175" s="17" t="str">
        <x:v>APP2025000171</x:v>
      </x:c>
      <x:c r="B175" s="20" t="n">
        <x:v>45688.45763888889</x:v>
      </x:c>
      <x:c r="C175" s="17" t="str">
        <x:v>v1.6</x:v>
      </x:c>
      <x:c r="D175" s="17" t="str">
        <x:v>PASS</x:v>
      </x:c>
      <x:c r="E175" s="17" t="str">
        <x:v>DEFAULT</x:v>
      </x:c>
      <x:c r="F175" s="17" t="str">
        <x:v>未命中拒绝或人工审核规则</x:v>
      </x:c>
      <x:c r="G175" s="17" t="str">
        <x:v>REQ_00900170</x:v>
      </x:c>
    </x:row>
    <x:row r="176">
      <x:c r="A176" s="17" t="str">
        <x:v>APP2025000172</x:v>
      </x:c>
      <x:c r="B176" s="20" t="n">
        <x:v>45737.43263888889</x:v>
      </x:c>
      <x:c r="C176" s="17" t="str">
        <x:v>v1.6</x:v>
      </x:c>
      <x:c r="D176" s="17" t="str">
        <x:v>REVIEW</x:v>
      </x:c>
      <x:c r="E176" s="17" t="str">
        <x:v>R002</x:v>
      </x:c>
      <x:c r="F176" s="17" t="str">
        <x:v>负债收入比 85.1% 超过80%</x:v>
      </x:c>
      <x:c r="G176" s="17" t="str">
        <x:v>REQ_00900171</x:v>
      </x:c>
    </x:row>
    <x:row r="177">
      <x:c r="A177" s="17" t="str">
        <x:v>APP2025000173</x:v>
      </x:c>
      <x:c r="B177" s="20" t="n">
        <x:v>45744.365277777775</x:v>
      </x:c>
      <x:c r="C177" s="17" t="str">
        <x:v>v1.6</x:v>
      </x:c>
      <x:c r="D177" s="17" t="str">
        <x:v>REJECT</x:v>
      </x:c>
      <x:c r="E177" s="17" t="str">
        <x:v>R003</x:v>
      </x:c>
      <x:c r="F177" s="17" t="str">
        <x:v>信用评分 497 低于500</x:v>
      </x:c>
      <x:c r="G177" s="17" t="str">
        <x:v>REQ_00900172</x:v>
      </x:c>
    </x:row>
    <x:row r="178">
      <x:c r="A178" s="17" t="str">
        <x:v>APP2025000174</x:v>
      </x:c>
      <x:c r="B178" s="20" t="n">
        <x:v>45679.634722222225</x:v>
      </x:c>
      <x:c r="C178" s="17" t="str">
        <x:v>v1.6</x:v>
      </x:c>
      <x:c r="D178" s="17" t="str">
        <x:v>REVIEW</x:v>
      </x:c>
      <x:c r="E178" s="17" t="str">
        <x:v>R002</x:v>
      </x:c>
      <x:c r="F178" s="17" t="str">
        <x:v>负债收入比 96.1% 超过80%</x:v>
      </x:c>
      <x:c r="G178" s="17" t="str">
        <x:v>REQ_00900173</x:v>
      </x:c>
    </x:row>
    <x:row r="179">
      <x:c r="A179" s="17" t="str">
        <x:v>APP2025000175</x:v>
      </x:c>
      <x:c r="B179" s="20" t="n">
        <x:v>45754.53055555555</x:v>
      </x:c>
      <x:c r="C179" s="17" t="str">
        <x:v>v1.6</x:v>
      </x:c>
      <x:c r="D179" s="17" t="str">
        <x:v>PASS</x:v>
      </x:c>
      <x:c r="E179" s="17" t="str">
        <x:v>DEFAULT</x:v>
      </x:c>
      <x:c r="F179" s="17" t="str">
        <x:v>未命中拒绝或人工审核规则</x:v>
      </x:c>
      <x:c r="G179" s="17" t="str">
        <x:v>REQ_00900174</x:v>
      </x:c>
    </x:row>
    <x:row r="180">
      <x:c r="A180" s="17" t="str">
        <x:v>APP2025000176</x:v>
      </x:c>
      <x:c r="B180" s="20" t="n">
        <x:v>45745.6125</x:v>
      </x:c>
      <x:c r="C180" s="17" t="str">
        <x:v>v1.6</x:v>
      </x:c>
      <x:c r="D180" s="17" t="str">
        <x:v>PASS</x:v>
      </x:c>
      <x:c r="E180" s="17" t="str">
        <x:v>DEFAULT</x:v>
      </x:c>
      <x:c r="F180" s="17" t="str">
        <x:v>未命中拒绝或人工审核规则</x:v>
      </x:c>
      <x:c r="G180" s="17" t="str">
        <x:v>REQ_00900175</x:v>
      </x:c>
    </x:row>
    <x:row r="181">
      <x:c r="A181" s="17" t="str">
        <x:v>APP2025000177</x:v>
      </x:c>
      <x:c r="B181" s="20" t="n">
        <x:v>45728.58819444444</x:v>
      </x:c>
      <x:c r="C181" s="17" t="str">
        <x:v>v1.6</x:v>
      </x:c>
      <x:c r="D181" s="17" t="str">
        <x:v>REJECT</x:v>
      </x:c>
      <x:c r="E181" s="17" t="str">
        <x:v>R003</x:v>
      </x:c>
      <x:c r="F181" s="17" t="str">
        <x:v>信用评分 491 低于500</x:v>
      </x:c>
      <x:c r="G181" s="17" t="str">
        <x:v>REQ_00900176</x:v>
      </x:c>
    </x:row>
    <x:row r="182">
      <x:c r="A182" s="17" t="str">
        <x:v>APP2025000178</x:v>
      </x:c>
      <x:c r="B182" s="20" t="n">
        <x:v>45796.66875</x:v>
      </x:c>
      <x:c r="C182" s="17" t="str">
        <x:v>v1.6</x:v>
      </x:c>
      <x:c r="D182" s="17" t="str">
        <x:v>PASS</x:v>
      </x:c>
      <x:c r="E182" s="17" t="str">
        <x:v>DEFAULT</x:v>
      </x:c>
      <x:c r="F182" s="17" t="str">
        <x:v>未命中拒绝或人工审核规则</x:v>
      </x:c>
      <x:c r="G182" s="17" t="str">
        <x:v>REQ_00900177</x:v>
      </x:c>
    </x:row>
    <x:row r="183">
      <x:c r="A183" s="17" t="str">
        <x:v>APP2025000179</x:v>
      </x:c>
      <x:c r="B183" s="20" t="n">
        <x:v>45809.42986111111</x:v>
      </x:c>
      <x:c r="C183" s="17" t="str">
        <x:v>v1.6</x:v>
      </x:c>
      <x:c r="D183" s="17" t="str">
        <x:v>REVIEW</x:v>
      </x:c>
      <x:c r="E183" s="17" t="str">
        <x:v>R002</x:v>
      </x:c>
      <x:c r="F183" s="17" t="str">
        <x:v>负债收入比 98.8% 超过80%</x:v>
      </x:c>
      <x:c r="G183" s="17" t="str">
        <x:v>REQ_00900178</x:v>
      </x:c>
    </x:row>
    <x:row r="184">
      <x:c r="A184" s="17" t="str">
        <x:v>APP2025000180</x:v>
      </x:c>
      <x:c r="B184" s="20" t="n">
        <x:v>45778.419444444444</x:v>
      </x:c>
      <x:c r="C184" s="17" t="str">
        <x:v>v1.6</x:v>
      </x:c>
      <x:c r="D184" s="17" t="str">
        <x:v>REVIEW</x:v>
      </x:c>
      <x:c r="E184" s="17" t="str">
        <x:v>R002</x:v>
      </x:c>
      <x:c r="F184" s="17" t="str">
        <x:v>负债收入比 91% 超过80%</x:v>
      </x:c>
      <x:c r="G184" s="17" t="str">
        <x:v>REQ_00900179</x:v>
      </x:c>
    </x:row>
    <x:row r="185">
      <x:c r="A185" s="17" t="str">
        <x:v>APP2025000181</x:v>
      </x:c>
      <x:c r="B185" s="20" t="n">
        <x:v>45825.61736111111</x:v>
      </x:c>
      <x:c r="C185" s="17" t="str">
        <x:v>v1.6</x:v>
      </x:c>
      <x:c r="D185" s="17" t="str">
        <x:v>PASS</x:v>
      </x:c>
      <x:c r="E185" s="17" t="str">
        <x:v>DEFAULT</x:v>
      </x:c>
      <x:c r="F185" s="17" t="str">
        <x:v>未命中拒绝或人工审核规则</x:v>
      </x:c>
      <x:c r="G185" s="17" t="str">
        <x:v>REQ_00900180</x:v>
      </x:c>
    </x:row>
    <x:row r="186">
      <x:c r="A186" s="17" t="str">
        <x:v>APP2025000182</x:v>
      </x:c>
      <x:c r="B186" s="20" t="n">
        <x:v>45790.54305555556</x:v>
      </x:c>
      <x:c r="C186" s="17" t="str">
        <x:v>v1.6</x:v>
      </x:c>
      <x:c r="D186" s="17" t="str">
        <x:v>REVIEW</x:v>
      </x:c>
      <x:c r="E186" s="17" t="str">
        <x:v>R004</x:v>
      </x:c>
      <x:c r="F186" s="17" t="str">
        <x:v>信用评分 544 进入人工复核区间</x:v>
      </x:c>
      <x:c r="G186" s="17" t="str">
        <x:v>REQ_00900181</x:v>
      </x:c>
    </x:row>
    <x:row r="187">
      <x:c r="A187" s="17" t="str">
        <x:v>APP2025000183</x:v>
      </x:c>
      <x:c r="B187" s="20" t="n">
        <x:v>45666.41458333333</x:v>
      </x:c>
      <x:c r="C187" s="17" t="str">
        <x:v>v1.6</x:v>
      </x:c>
      <x:c r="D187" s="17" t="str">
        <x:v>REJECT</x:v>
      </x:c>
      <x:c r="E187" s="17" t="str">
        <x:v>R001</x:v>
      </x:c>
      <x:c r="F187" s="17" t="str">
        <x:v>近12个月逾期 4 次，达到3次拒绝阈值</x:v>
      </x:c>
      <x:c r="G187" s="17" t="str">
        <x:v>REQ_00900182</x:v>
      </x:c>
    </x:row>
    <x:row r="188">
      <x:c r="A188" s="17" t="str">
        <x:v>APP2025000184</x:v>
      </x:c>
      <x:c r="B188" s="20" t="n">
        <x:v>45832.46666666667</x:v>
      </x:c>
      <x:c r="C188" s="17" t="str">
        <x:v>v1.6</x:v>
      </x:c>
      <x:c r="D188" s="17" t="str">
        <x:v>REJECT</x:v>
      </x:c>
      <x:c r="E188" s="17" t="str">
        <x:v>R001</x:v>
      </x:c>
      <x:c r="F188" s="17" t="str">
        <x:v>近12个月逾期 4 次，达到3次拒绝阈值</x:v>
      </x:c>
      <x:c r="G188" s="17" t="str">
        <x:v>REQ_00900183</x:v>
      </x:c>
    </x:row>
    <x:row r="189">
      <x:c r="A189" s="17" t="str">
        <x:v>APP2025000185</x:v>
      </x:c>
      <x:c r="B189" s="20" t="n">
        <x:v>45736.34375</x:v>
      </x:c>
      <x:c r="C189" s="17" t="str">
        <x:v>v1.6</x:v>
      </x:c>
      <x:c r="D189" s="17" t="str">
        <x:v>PASS</x:v>
      </x:c>
      <x:c r="E189" s="17" t="str">
        <x:v>DEFAULT</x:v>
      </x:c>
      <x:c r="F189" s="17" t="str">
        <x:v>未命中拒绝或人工审核规则</x:v>
      </x:c>
      <x:c r="G189" s="17" t="str">
        <x:v>REQ_00900184</x:v>
      </x:c>
    </x:row>
    <x:row r="190">
      <x:c r="A190" s="17" t="str">
        <x:v>APP2025000186</x:v>
      </x:c>
      <x:c r="B190" s="20" t="n">
        <x:v>45752.36944444444</x:v>
      </x:c>
      <x:c r="C190" s="17" t="str">
        <x:v>v1.6</x:v>
      </x:c>
      <x:c r="D190" s="17" t="str">
        <x:v>PASS</x:v>
      </x:c>
      <x:c r="E190" s="17" t="str">
        <x:v>DEFAULT</x:v>
      </x:c>
      <x:c r="F190" s="17" t="str">
        <x:v>未命中拒绝或人工审核规则</x:v>
      </x:c>
      <x:c r="G190" s="17" t="str">
        <x:v>REQ_00900185</x:v>
      </x:c>
    </x:row>
    <x:row r="191">
      <x:c r="A191" s="17" t="str">
        <x:v>APP2025000187</x:v>
      </x:c>
      <x:c r="B191" s="20" t="n">
        <x:v>45682.52013888889</x:v>
      </x:c>
      <x:c r="C191" s="17" t="str">
        <x:v>v1.6</x:v>
      </x:c>
      <x:c r="D191" s="17" t="str">
        <x:v>PASS</x:v>
      </x:c>
      <x:c r="E191" s="17" t="str">
        <x:v>DEFAULT</x:v>
      </x:c>
      <x:c r="F191" s="17" t="str">
        <x:v>未命中拒绝或人工审核规则</x:v>
      </x:c>
      <x:c r="G191" s="17" t="str">
        <x:v>REQ_00900186</x:v>
      </x:c>
    </x:row>
    <x:row r="192">
      <x:c r="A192" s="17" t="str">
        <x:v>APP2025000188</x:v>
      </x:c>
      <x:c r="B192" s="20" t="n">
        <x:v>45832.65625</x:v>
      </x:c>
      <x:c r="C192" s="17" t="str">
        <x:v>v1.6</x:v>
      </x:c>
      <x:c r="D192" s="17" t="str">
        <x:v>REJECT</x:v>
      </x:c>
      <x:c r="E192" s="17" t="str">
        <x:v>R003</x:v>
      </x:c>
      <x:c r="F192" s="17" t="str">
        <x:v>信用评分 454 低于500</x:v>
      </x:c>
      <x:c r="G192" s="17" t="str">
        <x:v>REQ_00900187</x:v>
      </x:c>
    </x:row>
    <x:row r="193">
      <x:c r="A193" s="17" t="str">
        <x:v>APP2025000189</x:v>
      </x:c>
      <x:c r="B193" s="20" t="n">
        <x:v>45697.50069444445</x:v>
      </x:c>
      <x:c r="C193" s="17" t="str">
        <x:v>v1.6</x:v>
      </x:c>
      <x:c r="D193" s="17" t="str">
        <x:v>REVIEW</x:v>
      </x:c>
      <x:c r="E193" s="17" t="str">
        <x:v>R002</x:v>
      </x:c>
      <x:c r="F193" s="17" t="str">
        <x:v>负债收入比 97.7% 超过80%</x:v>
      </x:c>
      <x:c r="G193" s="17" t="str">
        <x:v>REQ_00900188</x:v>
      </x:c>
    </x:row>
    <x:row r="194">
      <x:c r="A194" s="17" t="str">
        <x:v>APP2025000190</x:v>
      </x:c>
      <x:c r="B194" s="20" t="n">
        <x:v>45799.73472222222</x:v>
      </x:c>
      <x:c r="C194" s="17" t="str">
        <x:v>v1.6</x:v>
      </x:c>
      <x:c r="D194" s="17" t="str">
        <x:v>REVIEW</x:v>
      </x:c>
      <x:c r="E194" s="17" t="str">
        <x:v>R002</x:v>
      </x:c>
      <x:c r="F194" s="17" t="str">
        <x:v>负债收入比 92.4% 超过80%</x:v>
      </x:c>
      <x:c r="G194" s="17" t="str">
        <x:v>REQ_00900189</x:v>
      </x:c>
    </x:row>
    <x:row r="195">
      <x:c r="A195" s="17" t="str">
        <x:v>APP2025000191</x:v>
      </x:c>
      <x:c r="B195" s="20" t="n">
        <x:v>45776.6375</x:v>
      </x:c>
      <x:c r="C195" s="17" t="str">
        <x:v>v1.6</x:v>
      </x:c>
      <x:c r="D195" s="17" t="str">
        <x:v>REVIEW</x:v>
      </x:c>
      <x:c r="E195" s="17" t="str">
        <x:v>R002</x:v>
      </x:c>
      <x:c r="F195" s="17" t="str">
        <x:v>负债收入比 83.9% 超过80%</x:v>
      </x:c>
      <x:c r="G195" s="17" t="str">
        <x:v>REQ_00900190</x:v>
      </x:c>
    </x:row>
    <x:row r="196">
      <x:c r="A196" s="17" t="str">
        <x:v>APP2025000192</x:v>
      </x:c>
      <x:c r="B196" s="20" t="n">
        <x:v>45662.69236111111</x:v>
      </x:c>
      <x:c r="C196" s="17" t="str">
        <x:v>v1.6</x:v>
      </x:c>
      <x:c r="D196" s="17" t="str">
        <x:v>REVIEW</x:v>
      </x:c>
      <x:c r="E196" s="17" t="str">
        <x:v>R002</x:v>
      </x:c>
      <x:c r="F196" s="17" t="str">
        <x:v>负债收入比 84.9% 超过80%</x:v>
      </x:c>
      <x:c r="G196" s="17" t="str">
        <x:v>REQ_00900191</x:v>
      </x:c>
    </x:row>
    <x:row r="197">
      <x:c r="A197" s="17" t="str">
        <x:v>APP2025000193</x:v>
      </x:c>
      <x:c r="B197" s="20" t="n">
        <x:v>45764.50763888889</x:v>
      </x:c>
      <x:c r="C197" s="17" t="str">
        <x:v>v1.6</x:v>
      </x:c>
      <x:c r="D197" s="17" t="str">
        <x:v>PASS</x:v>
      </x:c>
      <x:c r="E197" s="17" t="str">
        <x:v>DEFAULT</x:v>
      </x:c>
      <x:c r="F197" s="17" t="str">
        <x:v>未命中拒绝或人工审核规则</x:v>
      </x:c>
      <x:c r="G197" s="17" t="str">
        <x:v>REQ_00900192</x:v>
      </x:c>
    </x:row>
    <x:row r="198">
      <x:c r="A198" s="17" t="str">
        <x:v>APP2025000194</x:v>
      </x:c>
      <x:c r="B198" s="20" t="n">
        <x:v>45683.47986111111</x:v>
      </x:c>
      <x:c r="C198" s="17" t="str">
        <x:v>v1.6</x:v>
      </x:c>
      <x:c r="D198" s="17" t="str">
        <x:v>PASS</x:v>
      </x:c>
      <x:c r="E198" s="17" t="str">
        <x:v>DEFAULT</x:v>
      </x:c>
      <x:c r="F198" s="17" t="str">
        <x:v>未命中拒绝或人工审核规则</x:v>
      </x:c>
      <x:c r="G198" s="17" t="str">
        <x:v>REQ_00900193</x:v>
      </x:c>
    </x:row>
    <x:row r="199">
      <x:c r="A199" s="17" t="str">
        <x:v>APP2025000195</x:v>
      </x:c>
      <x:c r="B199" s="20" t="n">
        <x:v>45676.59375</x:v>
      </x:c>
      <x:c r="C199" s="17" t="str">
        <x:v>v1.6</x:v>
      </x:c>
      <x:c r="D199" s="17" t="str">
        <x:v>PASS</x:v>
      </x:c>
      <x:c r="E199" s="17" t="str">
        <x:v>DEFAULT</x:v>
      </x:c>
      <x:c r="F199" s="17" t="str">
        <x:v>未命中拒绝或人工审核规则</x:v>
      </x:c>
      <x:c r="G199" s="17" t="str">
        <x:v>REQ_00900194</x:v>
      </x:c>
    </x:row>
    <x:row r="200">
      <x:c r="A200" s="17" t="str">
        <x:v>APP2025000196</x:v>
      </x:c>
      <x:c r="B200" s="20" t="n">
        <x:v>45733.44513888889</x:v>
      </x:c>
      <x:c r="C200" s="17" t="str">
        <x:v>v1.6</x:v>
      </x:c>
      <x:c r="D200" s="17" t="str">
        <x:v>PASS</x:v>
      </x:c>
      <x:c r="E200" s="17" t="str">
        <x:v>DEFAULT</x:v>
      </x:c>
      <x:c r="F200" s="17" t="str">
        <x:v>未命中拒绝或人工审核规则</x:v>
      </x:c>
      <x:c r="G200" s="17" t="str">
        <x:v>REQ_00900195</x:v>
      </x:c>
    </x:row>
    <x:row r="201">
      <x:c r="A201" s="17" t="str">
        <x:v>APP2025000197</x:v>
      </x:c>
      <x:c r="B201" s="20" t="n">
        <x:v>45811.739583333336</x:v>
      </x:c>
      <x:c r="C201" s="17" t="str">
        <x:v>v1.6</x:v>
      </x:c>
      <x:c r="D201" s="17" t="str">
        <x:v>REVIEW</x:v>
      </x:c>
      <x:c r="E201" s="17" t="str">
        <x:v>R002</x:v>
      </x:c>
      <x:c r="F201" s="17" t="str">
        <x:v>负债收入比 96.2% 超过80%</x:v>
      </x:c>
      <x:c r="G201" s="17" t="str">
        <x:v>REQ_00900196</x:v>
      </x:c>
    </x:row>
    <x:row r="202">
      <x:c r="A202" s="17" t="str">
        <x:v>APP2025000198</x:v>
      </x:c>
      <x:c r="B202" s="20" t="n">
        <x:v>45774.39791666667</x:v>
      </x:c>
      <x:c r="C202" s="17" t="str">
        <x:v>v1.6</x:v>
      </x:c>
      <x:c r="D202" s="17" t="str">
        <x:v>PASS</x:v>
      </x:c>
      <x:c r="E202" s="17" t="str">
        <x:v>DEFAULT</x:v>
      </x:c>
      <x:c r="F202" s="17" t="str">
        <x:v>未命中拒绝或人工审核规则</x:v>
      </x:c>
      <x:c r="G202" s="17" t="str">
        <x:v>REQ_00900197</x:v>
      </x:c>
    </x:row>
    <x:row r="203">
      <x:c r="A203" s="17" t="str">
        <x:v>APP2025000199</x:v>
      </x:c>
      <x:c r="B203" s="20" t="n">
        <x:v>45810.69652777778</x:v>
      </x:c>
      <x:c r="C203" s="17" t="str">
        <x:v>v1.6</x:v>
      </x:c>
      <x:c r="D203" s="17" t="str">
        <x:v>PASS</x:v>
      </x:c>
      <x:c r="E203" s="17" t="str">
        <x:v>DEFAULT</x:v>
      </x:c>
      <x:c r="F203" s="17" t="str">
        <x:v>未命中拒绝或人工审核规则</x:v>
      </x:c>
      <x:c r="G203" s="17" t="str">
        <x:v>REQ_00900198</x:v>
      </x:c>
    </x:row>
    <x:row r="204">
      <x:c r="A204" s="18" t="str">
        <x:v>APP2025000200</x:v>
      </x:c>
      <x:c r="B204" s="21" t="n">
        <x:v>45782.416666666664</x:v>
      </x:c>
      <x:c r="C204" s="18" t="str">
        <x:v>v1.6</x:v>
      </x:c>
      <x:c r="D204" s="18" t="str">
        <x:v>PASS</x:v>
      </x:c>
      <x:c r="E204" s="18" t="str">
        <x:v>DEFAULT</x:v>
      </x:c>
      <x:c r="F204" s="18" t="str">
        <x:v>未命中拒绝或人工审核规则</x:v>
      </x:c>
      <x:c r="G204" s="18" t="str">
        <x:v>REQ_00900199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0" hidden="0" customWidth="1"/>
    <x:col min="4" max="4" width="20" hidden="0" customWidth="1"/>
    <x:col min="5" max="5" width="16" hidden="0" customWidth="1"/>
    <x:col min="6" max="6" width="15" hidden="0" customWidth="1"/>
    <x:col min="7" max="7" width="28" hidden="0" customWidth="1"/>
    <x:col min="8" max="8" width="22" hidden="0" customWidth="1"/>
  </x:cols>
  <x:sheetData>
    <x:row r="1" ht="30" customHeight="1">
      <x:c r="A1" s="3" t="str">
        <x:v>04｜人工审核结果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来源：人工审核系统。仅原策略结果为 REVIEW 的申请产生记录，不保留审核员姓名。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1" t="str">
        <x:v>application_id</x:v>
      </x:c>
      <x:c r="B4" s="11" t="str">
        <x:v>review_task_id</x:v>
      </x:c>
      <x:c r="C4" s="11" t="str">
        <x:v>assigned_time</x:v>
      </x:c>
      <x:c r="D4" s="11" t="str">
        <x:v>completed_time</x:v>
      </x:c>
      <x:c r="E4" s="11" t="str">
        <x:v>reviewer_team</x:v>
      </x:c>
      <x:c r="F4" s="11" t="str">
        <x:v>review_result</x:v>
      </x:c>
      <x:c r="G4" s="11" t="str">
        <x:v>review_reason</x:v>
      </x:c>
      <x:c r="H4" s="11" t="str">
        <x:v>review_duration_minutes</x:v>
      </x:c>
    </x:row>
    <x:row r="5">
      <x:c r="A5" s="16" t="str">
        <x:v>APP2025000003</x:v>
      </x:c>
      <x:c r="B5" s="16" t="str">
        <x:v>RVW_030000</x:v>
      </x:c>
      <x:c r="C5" s="19" t="n">
        <x:v>45722.54791666667</x:v>
      </x:c>
      <x:c r="D5" s="19" t="n">
        <x:v>45722.60138888889</x:v>
      </x:c>
      <x:c r="E5" s="16" t="str">
        <x:v>风控审核二组</x:v>
      </x:c>
      <x:c r="F5" s="16" t="str">
        <x:v>DECLINE</x:v>
      </x:c>
      <x:c r="G5" s="16" t="str">
        <x:v>还款能力不足</x:v>
      </x:c>
      <x:c r="H5" s="25" t="n">
        <x:v>77</x:v>
      </x:c>
    </x:row>
    <x:row r="6">
      <x:c r="A6" s="17" t="str">
        <x:v>APP2025000004</x:v>
      </x:c>
      <x:c r="B6" s="17" t="str">
        <x:v>RVW_030001</x:v>
      </x:c>
      <x:c r="C6" s="20" t="n">
        <x:v>45737.39097222222</x:v>
      </x:c>
      <x:c r="D6" s="20" t="n">
        <x:v>45737.447916666664</x:v>
      </x:c>
      <x:c r="E6" s="17" t="str">
        <x:v>风控审核二组</x:v>
      </x:c>
      <x:c r="F6" s="17" t="str">
        <x:v>DECLINE</x:v>
      </x:c>
      <x:c r="G6" s="17" t="str">
        <x:v>还款能力不足</x:v>
      </x:c>
      <x:c r="H6" s="26" t="n">
        <x:v>82</x:v>
      </x:c>
    </x:row>
    <x:row r="7">
      <x:c r="A7" s="17" t="str">
        <x:v>APP2025000015</x:v>
      </x:c>
      <x:c r="B7" s="17" t="str">
        <x:v>RVW_030002</x:v>
      </x:c>
      <x:c r="C7" s="20" t="n">
        <x:v>45737.56458333333</x:v>
      </x:c>
      <x:c r="D7" s="20" t="n">
        <x:v>45737.62430555555</x:v>
      </x:c>
      <x:c r="E7" s="17" t="str">
        <x:v>风控审核一组</x:v>
      </x:c>
      <x:c r="F7" s="17" t="str">
        <x:v>APPROVE</x:v>
      </x:c>
      <x:c r="G7" s="17" t="str">
        <x:v>补充材料验证通过</x:v>
      </x:c>
      <x:c r="H7" s="26" t="n">
        <x:v>86</x:v>
      </x:c>
    </x:row>
    <x:row r="8">
      <x:c r="A8" s="17" t="str">
        <x:v>APP2025000017</x:v>
      </x:c>
      <x:c r="B8" s="17" t="str">
        <x:v>RVW_030003</x:v>
      </x:c>
      <x:c r="C8" s="20" t="n">
        <x:v>45738.42291666667</x:v>
      </x:c>
      <x:c r="D8" s="20" t="n">
        <x:v>45738.43819444445</x:v>
      </x:c>
      <x:c r="E8" s="17" t="str">
        <x:v>风控审核二组</x:v>
      </x:c>
      <x:c r="F8" s="17" t="str">
        <x:v>APPROVE</x:v>
      </x:c>
      <x:c r="G8" s="17" t="str">
        <x:v>补充材料验证通过</x:v>
      </x:c>
      <x:c r="H8" s="26" t="n">
        <x:v>22</x:v>
      </x:c>
    </x:row>
    <x:row r="9">
      <x:c r="A9" s="17" t="str">
        <x:v>APP2025000029</x:v>
      </x:c>
      <x:c r="B9" s="17" t="str">
        <x:v>RVW_030004</x:v>
      </x:c>
      <x:c r="C9" s="20" t="n">
        <x:v>45713.51875</x:v>
      </x:c>
      <x:c r="D9" s="20" t="n">
        <x:v>45713.56805555556</x:v>
      </x:c>
      <x:c r="E9" s="17" t="str">
        <x:v>风控审核一组</x:v>
      </x:c>
      <x:c r="F9" s="17" t="str">
        <x:v>DECLINE</x:v>
      </x:c>
      <x:c r="G9" s="17" t="str">
        <x:v>还款能力不足</x:v>
      </x:c>
      <x:c r="H9" s="26" t="n">
        <x:v>71</x:v>
      </x:c>
    </x:row>
    <x:row r="10">
      <x:c r="A10" s="17" t="str">
        <x:v>APP2025000030</x:v>
      </x:c>
      <x:c r="B10" s="17" t="str">
        <x:v>RVW_030005</x:v>
      </x:c>
      <x:c r="C10" s="20" t="n">
        <x:v>45787.65069444444</x:v>
      </x:c>
      <x:c r="D10" s="20" t="n">
        <x:v>45787.686111111114</x:v>
      </x:c>
      <x:c r="E10" s="17" t="str">
        <x:v>风控审核二组</x:v>
      </x:c>
      <x:c r="F10" s="17" t="str">
        <x:v>APPROVE</x:v>
      </x:c>
      <x:c r="G10" s="17" t="str">
        <x:v>补充材料验证通过</x:v>
      </x:c>
      <x:c r="H10" s="26" t="n">
        <x:v>51</x:v>
      </x:c>
    </x:row>
    <x:row r="11">
      <x:c r="A11" s="17" t="str">
        <x:v>APP2025000031</x:v>
      </x:c>
      <x:c r="B11" s="17" t="str">
        <x:v>RVW_030006</x:v>
      </x:c>
      <x:c r="C11" s="20" t="n">
        <x:v>45730.740277777775</x:v>
      </x:c>
      <x:c r="D11" s="20" t="n">
        <x:v>45730.75</x:v>
      </x:c>
      <x:c r="E11" s="17" t="str">
        <x:v>风控审核二组</x:v>
      </x:c>
      <x:c r="F11" s="17" t="str">
        <x:v>APPROVE</x:v>
      </x:c>
      <x:c r="G11" s="17" t="str">
        <x:v>补充材料验证通过</x:v>
      </x:c>
      <x:c r="H11" s="26" t="n">
        <x:v>14</x:v>
      </x:c>
    </x:row>
    <x:row r="12">
      <x:c r="A12" s="17" t="str">
        <x:v>APP2025000036</x:v>
      </x:c>
      <x:c r="B12" s="17" t="str">
        <x:v>RVW_030007</x:v>
      </x:c>
      <x:c r="C12" s="20" t="n">
        <x:v>45698.395833333336</x:v>
      </x:c>
      <x:c r="D12" s="20" t="n">
        <x:v>45698.44861111111</x:v>
      </x:c>
      <x:c r="E12" s="17" t="str">
        <x:v>风控审核一组</x:v>
      </x:c>
      <x:c r="F12" s="17" t="str">
        <x:v>DECLINE</x:v>
      </x:c>
      <x:c r="G12" s="17" t="str">
        <x:v>收入证明不足</x:v>
      </x:c>
      <x:c r="H12" s="26" t="n">
        <x:v>76</x:v>
      </x:c>
    </x:row>
    <x:row r="13">
      <x:c r="A13" s="17" t="str">
        <x:v>APP2025000040</x:v>
      </x:c>
      <x:c r="B13" s="17" t="str">
        <x:v>RVW_030008</x:v>
      </x:c>
      <x:c r="C13" s="20" t="n">
        <x:v>45754.73472222222</x:v>
      </x:c>
      <x:c r="D13" s="20" t="n">
        <x:v>45754.75625</x:v>
      </x:c>
      <x:c r="E13" s="17" t="str">
        <x:v>风控审核一组</x:v>
      </x:c>
      <x:c r="F13" s="17" t="str">
        <x:v>DECLINE</x:v>
      </x:c>
      <x:c r="G13" s="17" t="str">
        <x:v>收入证明不足</x:v>
      </x:c>
      <x:c r="H13" s="26" t="n">
        <x:v>31</x:v>
      </x:c>
    </x:row>
    <x:row r="14">
      <x:c r="A14" s="17" t="str">
        <x:v>APP2025000049</x:v>
      </x:c>
      <x:c r="B14" s="17" t="str">
        <x:v>RVW_030009</x:v>
      </x:c>
      <x:c r="C14" s="20" t="n">
        <x:v>45693.64444444444</x:v>
      </x:c>
      <x:c r="D14" s="20" t="n">
        <x:v>45693.69861111111</x:v>
      </x:c>
      <x:c r="E14" s="17" t="str">
        <x:v>风控审核一组</x:v>
      </x:c>
      <x:c r="F14" s="17" t="str">
        <x:v>DECLINE</x:v>
      </x:c>
      <x:c r="G14" s="17" t="str">
        <x:v>负债用途存疑</x:v>
      </x:c>
      <x:c r="H14" s="26" t="n">
        <x:v>78</x:v>
      </x:c>
    </x:row>
    <x:row r="15">
      <x:c r="A15" s="17" t="str">
        <x:v>APP2025000051</x:v>
      </x:c>
      <x:c r="B15" s="17" t="str">
        <x:v>RVW_030010</x:v>
      </x:c>
      <x:c r="C15" s="20" t="n">
        <x:v>45836.49930555555</x:v>
      </x:c>
      <x:c r="D15" s="20" t="n">
        <x:v>45836.506944444445</x:v>
      </x:c>
      <x:c r="E15" s="17" t="str">
        <x:v>风控审核一组</x:v>
      </x:c>
      <x:c r="F15" s="17" t="str">
        <x:v>APPROVE</x:v>
      </x:c>
      <x:c r="G15" s="17" t="str">
        <x:v>补充材料验证通过</x:v>
      </x:c>
      <x:c r="H15" s="26" t="n">
        <x:v>11</x:v>
      </x:c>
    </x:row>
    <x:row r="16">
      <x:c r="A16" s="17" t="str">
        <x:v>APP2025000053</x:v>
      </x:c>
      <x:c r="B16" s="17" t="str">
        <x:v>RVW_030011</x:v>
      </x:c>
      <x:c r="C16" s="20" t="n">
        <x:v>45748.720138888886</x:v>
      </x:c>
      <x:c r="D16" s="20" t="n">
        <x:v>45748.76111111111</x:v>
      </x:c>
      <x:c r="E16" s="17" t="str">
        <x:v>风控审核一组</x:v>
      </x:c>
      <x:c r="F16" s="17" t="str">
        <x:v>APPROVE</x:v>
      </x:c>
      <x:c r="G16" s="17" t="str">
        <x:v>补充材料验证通过</x:v>
      </x:c>
      <x:c r="H16" s="26" t="n">
        <x:v>59</x:v>
      </x:c>
    </x:row>
    <x:row r="17">
      <x:c r="A17" s="17" t="str">
        <x:v>APP2025000055</x:v>
      </x:c>
      <x:c r="B17" s="17" t="str">
        <x:v>RVW_030012</x:v>
      </x:c>
      <x:c r="C17" s="20" t="n">
        <x:v>45722.54583333333</x:v>
      </x:c>
      <x:c r="D17" s="20" t="n">
        <x:v>45722.56805555556</x:v>
      </x:c>
      <x:c r="E17" s="17" t="str">
        <x:v>风控审核二组</x:v>
      </x:c>
      <x:c r="F17" s="17" t="str">
        <x:v>DECLINE</x:v>
      </x:c>
      <x:c r="G17" s="17" t="str">
        <x:v>负债用途存疑</x:v>
      </x:c>
      <x:c r="H17" s="26" t="n">
        <x:v>32</x:v>
      </x:c>
    </x:row>
    <x:row r="18">
      <x:c r="A18" s="17" t="str">
        <x:v>APP2025000061</x:v>
      </x:c>
      <x:c r="B18" s="17" t="str">
        <x:v>RVW_030013</x:v>
      </x:c>
      <x:c r="C18" s="20" t="n">
        <x:v>45747.677083333336</x:v>
      </x:c>
      <x:c r="D18" s="20" t="n">
        <x:v>45747.729166666664</x:v>
      </x:c>
      <x:c r="E18" s="17" t="str">
        <x:v>风控审核一组</x:v>
      </x:c>
      <x:c r="F18" s="17" t="str">
        <x:v>DECLINE</x:v>
      </x:c>
      <x:c r="G18" s="17" t="str">
        <x:v>收入证明不足</x:v>
      </x:c>
      <x:c r="H18" s="26" t="n">
        <x:v>75</x:v>
      </x:c>
    </x:row>
    <x:row r="19">
      <x:c r="A19" s="17" t="str">
        <x:v>APP2025000062</x:v>
      </x:c>
      <x:c r="B19" s="17" t="str">
        <x:v>RVW_030014</x:v>
      </x:c>
      <x:c r="C19" s="20" t="n">
        <x:v>45711.419444444444</x:v>
      </x:c>
      <x:c r="D19" s="20" t="n">
        <x:v>45711.467361111114</x:v>
      </x:c>
      <x:c r="E19" s="17" t="str">
        <x:v>风控审核一组</x:v>
      </x:c>
      <x:c r="F19" s="17" t="str">
        <x:v>APPROVE</x:v>
      </x:c>
      <x:c r="G19" s="17" t="str">
        <x:v>补充材料验证通过</x:v>
      </x:c>
      <x:c r="H19" s="26" t="n">
        <x:v>69</x:v>
      </x:c>
    </x:row>
    <x:row r="20">
      <x:c r="A20" s="17" t="str">
        <x:v>APP2025000063</x:v>
      </x:c>
      <x:c r="B20" s="17" t="str">
        <x:v>RVW_030015</x:v>
      </x:c>
      <x:c r="C20" s="20" t="n">
        <x:v>45837.38055555556</x:v>
      </x:c>
      <x:c r="D20" s="20" t="n">
        <x:v>45837.40138888889</x:v>
      </x:c>
      <x:c r="E20" s="17" t="str">
        <x:v>风控审核一组</x:v>
      </x:c>
      <x:c r="F20" s="17" t="str">
        <x:v>APPROVE</x:v>
      </x:c>
      <x:c r="G20" s="17" t="str">
        <x:v>补充材料验证通过</x:v>
      </x:c>
      <x:c r="H20" s="26" t="n">
        <x:v>30</x:v>
      </x:c>
    </x:row>
    <x:row r="21">
      <x:c r="A21" s="17" t="str">
        <x:v>APP2025000065</x:v>
      </x:c>
      <x:c r="B21" s="17" t="str">
        <x:v>RVW_030016</x:v>
      </x:c>
      <x:c r="C21" s="20" t="n">
        <x:v>45721.56180555555</x:v>
      </x:c>
      <x:c r="D21" s="20" t="n">
        <x:v>45721.5875</x:v>
      </x:c>
      <x:c r="E21" s="17" t="str">
        <x:v>风控审核二组</x:v>
      </x:c>
      <x:c r="F21" s="17" t="str">
        <x:v>APPROVE</x:v>
      </x:c>
      <x:c r="G21" s="17" t="str">
        <x:v>补充材料验证通过</x:v>
      </x:c>
      <x:c r="H21" s="26" t="n">
        <x:v>37</x:v>
      </x:c>
    </x:row>
    <x:row r="22">
      <x:c r="A22" s="17" t="str">
        <x:v>APP2025000066</x:v>
      </x:c>
      <x:c r="B22" s="17" t="str">
        <x:v>RVW_030017</x:v>
      </x:c>
      <x:c r="C22" s="20" t="n">
        <x:v>45804.467361111114</x:v>
      </x:c>
      <x:c r="D22" s="20" t="n">
        <x:v>45804.52361111111</x:v>
      </x:c>
      <x:c r="E22" s="17" t="str">
        <x:v>风控审核一组</x:v>
      </x:c>
      <x:c r="F22" s="17" t="str">
        <x:v>APPROVE</x:v>
      </x:c>
      <x:c r="G22" s="17" t="str">
        <x:v>补充材料验证通过</x:v>
      </x:c>
      <x:c r="H22" s="26" t="n">
        <x:v>81</x:v>
      </x:c>
    </x:row>
    <x:row r="23">
      <x:c r="A23" s="17" t="str">
        <x:v>APP2025000068</x:v>
      </x:c>
      <x:c r="B23" s="17" t="str">
        <x:v>RVW_030018</x:v>
      </x:c>
      <x:c r="C23" s="20" t="n">
        <x:v>45736.740277777775</x:v>
      </x:c>
      <x:c r="D23" s="20" t="n">
        <x:v>45736.79722222222</x:v>
      </x:c>
      <x:c r="E23" s="17" t="str">
        <x:v>风控审核一组</x:v>
      </x:c>
      <x:c r="F23" s="17" t="str">
        <x:v>APPROVE</x:v>
      </x:c>
      <x:c r="G23" s="17" t="str">
        <x:v>补充材料验证通过</x:v>
      </x:c>
      <x:c r="H23" s="26" t="n">
        <x:v>82</x:v>
      </x:c>
    </x:row>
    <x:row r="24">
      <x:c r="A24" s="17" t="str">
        <x:v>APP2025000069</x:v>
      </x:c>
      <x:c r="B24" s="17" t="str">
        <x:v>RVW_030019</x:v>
      </x:c>
      <x:c r="C24" s="20" t="n">
        <x:v>45832.42222222222</x:v>
      </x:c>
      <x:c r="D24" s="20" t="n">
        <x:v>45832.45208333333</x:v>
      </x:c>
      <x:c r="E24" s="17" t="str">
        <x:v>风控审核二组</x:v>
      </x:c>
      <x:c r="F24" s="17" t="str">
        <x:v>DECLINE</x:v>
      </x:c>
      <x:c r="G24" s="17" t="str">
        <x:v>还款能力不足</x:v>
      </x:c>
      <x:c r="H24" s="26" t="n">
        <x:v>43</x:v>
      </x:c>
    </x:row>
    <x:row r="25">
      <x:c r="A25" s="17" t="str">
        <x:v>APP2025000076</x:v>
      </x:c>
      <x:c r="B25" s="17" t="str">
        <x:v>RVW_030020</x:v>
      </x:c>
      <x:c r="C25" s="20" t="n">
        <x:v>45765.67361111111</x:v>
      </x:c>
      <x:c r="D25" s="20" t="n">
        <x:v>45765.72222222222</x:v>
      </x:c>
      <x:c r="E25" s="17" t="str">
        <x:v>风控审核二组</x:v>
      </x:c>
      <x:c r="F25" s="17" t="str">
        <x:v>APPROVE</x:v>
      </x:c>
      <x:c r="G25" s="17" t="str">
        <x:v>补充材料验证通过</x:v>
      </x:c>
      <x:c r="H25" s="26" t="n">
        <x:v>70</x:v>
      </x:c>
    </x:row>
    <x:row r="26">
      <x:c r="A26" s="17" t="str">
        <x:v>APP2025000078</x:v>
      </x:c>
      <x:c r="B26" s="17" t="str">
        <x:v>RVW_030021</x:v>
      </x:c>
      <x:c r="C26" s="20" t="n">
        <x:v>45704.441666666666</x:v>
      </x:c>
      <x:c r="D26" s="20" t="n">
        <x:v>45704.49375</x:v>
      </x:c>
      <x:c r="E26" s="17" t="str">
        <x:v>风控审核一组</x:v>
      </x:c>
      <x:c r="F26" s="17" t="str">
        <x:v>APPROVE</x:v>
      </x:c>
      <x:c r="G26" s="17" t="str">
        <x:v>补充材料验证通过</x:v>
      </x:c>
      <x:c r="H26" s="26" t="n">
        <x:v>75</x:v>
      </x:c>
    </x:row>
    <x:row r="27">
      <x:c r="A27" s="17" t="str">
        <x:v>APP2025000079</x:v>
      </x:c>
      <x:c r="B27" s="17" t="str">
        <x:v>RVW_030022</x:v>
      </x:c>
      <x:c r="C27" s="20" t="n">
        <x:v>45770.38402777778</x:v>
      </x:c>
      <x:c r="D27" s="20" t="n">
        <x:v>45770.43819444445</x:v>
      </x:c>
      <x:c r="E27" s="17" t="str">
        <x:v>风控审核二组</x:v>
      </x:c>
      <x:c r="F27" s="17" t="str">
        <x:v>APPROVE</x:v>
      </x:c>
      <x:c r="G27" s="17" t="str">
        <x:v>补充材料验证通过</x:v>
      </x:c>
      <x:c r="H27" s="26" t="n">
        <x:v>78</x:v>
      </x:c>
    </x:row>
    <x:row r="28">
      <x:c r="A28" s="17" t="str">
        <x:v>APP2025000081</x:v>
      </x:c>
      <x:c r="B28" s="17" t="str">
        <x:v>RVW_030023</x:v>
      </x:c>
      <x:c r="C28" s="20" t="n">
        <x:v>45814.50833333333</x:v>
      </x:c>
      <x:c r="D28" s="20" t="n">
        <x:v>45814.52847222222</x:v>
      </x:c>
      <x:c r="E28" s="17" t="str">
        <x:v>风控审核二组</x:v>
      </x:c>
      <x:c r="F28" s="17" t="str">
        <x:v>APPROVE</x:v>
      </x:c>
      <x:c r="G28" s="17" t="str">
        <x:v>补充材料验证通过</x:v>
      </x:c>
      <x:c r="H28" s="26" t="n">
        <x:v>29</x:v>
      </x:c>
    </x:row>
    <x:row r="29">
      <x:c r="A29" s="17" t="str">
        <x:v>APP2025000085</x:v>
      </x:c>
      <x:c r="B29" s="17" t="str">
        <x:v>RVW_030024</x:v>
      </x:c>
      <x:c r="C29" s="20" t="n">
        <x:v>45837.44513888889</x:v>
      </x:c>
      <x:c r="D29" s="20" t="n">
        <x:v>45837.46805555555</x:v>
      </x:c>
      <x:c r="E29" s="17" t="str">
        <x:v>风控审核一组</x:v>
      </x:c>
      <x:c r="F29" s="17" t="str">
        <x:v>APPROVE</x:v>
      </x:c>
      <x:c r="G29" s="17" t="str">
        <x:v>补充材料验证通过</x:v>
      </x:c>
      <x:c r="H29" s="26" t="n">
        <x:v>33</x:v>
      </x:c>
    </x:row>
    <x:row r="30">
      <x:c r="A30" s="17" t="str">
        <x:v>APP2025000090</x:v>
      </x:c>
      <x:c r="B30" s="17" t="str">
        <x:v>RVW_030025</x:v>
      </x:c>
      <x:c r="C30" s="20" t="n">
        <x:v>45726.686111111114</x:v>
      </x:c>
      <x:c r="D30" s="20" t="n">
        <x:v>45726.725</x:v>
      </x:c>
      <x:c r="E30" s="17" t="str">
        <x:v>风控审核二组</x:v>
      </x:c>
      <x:c r="F30" s="17" t="str">
        <x:v>DECLINE</x:v>
      </x:c>
      <x:c r="G30" s="17" t="str">
        <x:v>负债用途存疑</x:v>
      </x:c>
      <x:c r="H30" s="26" t="n">
        <x:v>56</x:v>
      </x:c>
    </x:row>
    <x:row r="31">
      <x:c r="A31" s="17" t="str">
        <x:v>APP2025000094</x:v>
      </x:c>
      <x:c r="B31" s="17" t="str">
        <x:v>RVW_030026</x:v>
      </x:c>
      <x:c r="C31" s="20" t="n">
        <x:v>45735.35833333333</x:v>
      </x:c>
      <x:c r="D31" s="20" t="n">
        <x:v>45735.40347222222</x:v>
      </x:c>
      <x:c r="E31" s="17" t="str">
        <x:v>风控审核一组</x:v>
      </x:c>
      <x:c r="F31" s="17" t="str">
        <x:v>APPROVE</x:v>
      </x:c>
      <x:c r="G31" s="17" t="str">
        <x:v>补充材料验证通过</x:v>
      </x:c>
      <x:c r="H31" s="26" t="n">
        <x:v>65</x:v>
      </x:c>
    </x:row>
    <x:row r="32">
      <x:c r="A32" s="17" t="str">
        <x:v>APP2025000095</x:v>
      </x:c>
      <x:c r="B32" s="17" t="str">
        <x:v>RVW_030027</x:v>
      </x:c>
      <x:c r="C32" s="20" t="n">
        <x:v>45661.65625</x:v>
      </x:c>
      <x:c r="D32" s="20" t="n">
        <x:v>45661.69513888889</x:v>
      </x:c>
      <x:c r="E32" s="17" t="str">
        <x:v>风控审核一组</x:v>
      </x:c>
      <x:c r="F32" s="17" t="str">
        <x:v>APPROVE</x:v>
      </x:c>
      <x:c r="G32" s="17" t="str">
        <x:v>补充材料验证通过</x:v>
      </x:c>
      <x:c r="H32" s="26" t="n">
        <x:v>56</x:v>
      </x:c>
    </x:row>
    <x:row r="33">
      <x:c r="A33" s="17" t="str">
        <x:v>APP2025000097</x:v>
      </x:c>
      <x:c r="B33" s="17" t="str">
        <x:v>RVW_030028</x:v>
      </x:c>
      <x:c r="C33" s="20" t="n">
        <x:v>45677.754166666666</x:v>
      </x:c>
      <x:c r="D33" s="20" t="n">
        <x:v>45677.79861111111</x:v>
      </x:c>
      <x:c r="E33" s="17" t="str">
        <x:v>风控审核一组</x:v>
      </x:c>
      <x:c r="F33" s="17" t="str">
        <x:v>APPROVE</x:v>
      </x:c>
      <x:c r="G33" s="17" t="str">
        <x:v>补充材料验证通过</x:v>
      </x:c>
      <x:c r="H33" s="26" t="n">
        <x:v>64</x:v>
      </x:c>
    </x:row>
    <x:row r="34">
      <x:c r="A34" s="17" t="str">
        <x:v>APP2025000098</x:v>
      </x:c>
      <x:c r="B34" s="17" t="str">
        <x:v>RVW_030029</x:v>
      </x:c>
      <x:c r="C34" s="20" t="n">
        <x:v>45710.59375</x:v>
      </x:c>
      <x:c r="D34" s="20" t="n">
        <x:v>45710.620833333334</x:v>
      </x:c>
      <x:c r="E34" s="17" t="str">
        <x:v>风控审核二组</x:v>
      </x:c>
      <x:c r="F34" s="17" t="str">
        <x:v>DECLINE</x:v>
      </x:c>
      <x:c r="G34" s="17" t="str">
        <x:v>负债用途存疑</x:v>
      </x:c>
      <x:c r="H34" s="26" t="n">
        <x:v>39</x:v>
      </x:c>
    </x:row>
    <x:row r="35">
      <x:c r="A35" s="17" t="str">
        <x:v>APP2025000106</x:v>
      </x:c>
      <x:c r="B35" s="17" t="str">
        <x:v>RVW_030030</x:v>
      </x:c>
      <x:c r="C35" s="20" t="n">
        <x:v>45759.69513888889</x:v>
      </x:c>
      <x:c r="D35" s="20" t="n">
        <x:v>45759.74513888889</x:v>
      </x:c>
      <x:c r="E35" s="17" t="str">
        <x:v>风控审核二组</x:v>
      </x:c>
      <x:c r="F35" s="17" t="str">
        <x:v>DECLINE</x:v>
      </x:c>
      <x:c r="G35" s="17" t="str">
        <x:v>收入证明不足</x:v>
      </x:c>
      <x:c r="H35" s="26" t="n">
        <x:v>72</x:v>
      </x:c>
    </x:row>
    <x:row r="36">
      <x:c r="A36" s="17" t="str">
        <x:v>APP2025000112</x:v>
      </x:c>
      <x:c r="B36" s="17" t="str">
        <x:v>RVW_030031</x:v>
      </x:c>
      <x:c r="C36" s="20" t="n">
        <x:v>45684.49236111111</x:v>
      </x:c>
      <x:c r="D36" s="20" t="n">
        <x:v>45684.50347222222</x:v>
      </x:c>
      <x:c r="E36" s="17" t="str">
        <x:v>风控审核一组</x:v>
      </x:c>
      <x:c r="F36" s="17" t="str">
        <x:v>DECLINE</x:v>
      </x:c>
      <x:c r="G36" s="17" t="str">
        <x:v>负债用途存疑</x:v>
      </x:c>
      <x:c r="H36" s="26" t="n">
        <x:v>16</x:v>
      </x:c>
    </x:row>
    <x:row r="37">
      <x:c r="A37" s="17" t="str">
        <x:v>APP2025000113</x:v>
      </x:c>
      <x:c r="B37" s="17" t="str">
        <x:v>RVW_030032</x:v>
      </x:c>
      <x:c r="C37" s="20" t="n">
        <x:v>45669.66805555556</x:v>
      </x:c>
      <x:c r="D37" s="20" t="n">
        <x:v>45669.705555555556</x:v>
      </x:c>
      <x:c r="E37" s="17" t="str">
        <x:v>风控审核二组</x:v>
      </x:c>
      <x:c r="F37" s="17" t="str">
        <x:v>APPROVE</x:v>
      </x:c>
      <x:c r="G37" s="17" t="str">
        <x:v>补充材料验证通过</x:v>
      </x:c>
      <x:c r="H37" s="26" t="n">
        <x:v>54</x:v>
      </x:c>
    </x:row>
    <x:row r="38">
      <x:c r="A38" s="17" t="str">
        <x:v>APP2025000116</x:v>
      </x:c>
      <x:c r="B38" s="17" t="str">
        <x:v>RVW_030033</x:v>
      </x:c>
      <x:c r="C38" s="20" t="n">
        <x:v>45765.43680555555</x:v>
      </x:c>
      <x:c r="D38" s="20" t="n">
        <x:v>45765.44513888889</x:v>
      </x:c>
      <x:c r="E38" s="17" t="str">
        <x:v>风控审核二组</x:v>
      </x:c>
      <x:c r="F38" s="17" t="str">
        <x:v>DECLINE</x:v>
      </x:c>
      <x:c r="G38" s="17" t="str">
        <x:v>收入证明不足</x:v>
      </x:c>
      <x:c r="H38" s="26" t="n">
        <x:v>12</x:v>
      </x:c>
    </x:row>
    <x:row r="39">
      <x:c r="A39" s="17" t="str">
        <x:v>APP2025000124</x:v>
      </x:c>
      <x:c r="B39" s="17" t="str">
        <x:v>RVW_030034</x:v>
      </x:c>
      <x:c r="C39" s="20" t="n">
        <x:v>45765.55486111111</x:v>
      </x:c>
      <x:c r="D39" s="20" t="n">
        <x:v>45765.61597222222</x:v>
      </x:c>
      <x:c r="E39" s="17" t="str">
        <x:v>风控审核二组</x:v>
      </x:c>
      <x:c r="F39" s="17" t="str">
        <x:v>APPROVE</x:v>
      </x:c>
      <x:c r="G39" s="17" t="str">
        <x:v>补充材料验证通过</x:v>
      </x:c>
      <x:c r="H39" s="26" t="n">
        <x:v>88</x:v>
      </x:c>
    </x:row>
    <x:row r="40">
      <x:c r="A40" s="17" t="str">
        <x:v>APP2025000128</x:v>
      </x:c>
      <x:c r="B40" s="17" t="str">
        <x:v>RVW_030035</x:v>
      </x:c>
      <x:c r="C40" s="20" t="n">
        <x:v>45679.714583333334</x:v>
      </x:c>
      <x:c r="D40" s="20" t="n">
        <x:v>45679.73333333333</x:v>
      </x:c>
      <x:c r="E40" s="17" t="str">
        <x:v>风控审核一组</x:v>
      </x:c>
      <x:c r="F40" s="17" t="str">
        <x:v>APPROVE</x:v>
      </x:c>
      <x:c r="G40" s="17" t="str">
        <x:v>补充材料验证通过</x:v>
      </x:c>
      <x:c r="H40" s="26" t="n">
        <x:v>27</x:v>
      </x:c>
    </x:row>
    <x:row r="41">
      <x:c r="A41" s="17" t="str">
        <x:v>APP2025000132</x:v>
      </x:c>
      <x:c r="B41" s="17" t="str">
        <x:v>RVW_030036</x:v>
      </x:c>
      <x:c r="C41" s="20" t="n">
        <x:v>45769.69236111111</x:v>
      </x:c>
      <x:c r="D41" s="20" t="n">
        <x:v>45769.73541666667</x:v>
      </x:c>
      <x:c r="E41" s="17" t="str">
        <x:v>风控审核二组</x:v>
      </x:c>
      <x:c r="F41" s="17" t="str">
        <x:v>APPROVE</x:v>
      </x:c>
      <x:c r="G41" s="17" t="str">
        <x:v>补充材料验证通过</x:v>
      </x:c>
      <x:c r="H41" s="26" t="n">
        <x:v>62</x:v>
      </x:c>
    </x:row>
    <x:row r="42">
      <x:c r="A42" s="17" t="str">
        <x:v>APP2025000133</x:v>
      </x:c>
      <x:c r="B42" s="17" t="str">
        <x:v>RVW_030037</x:v>
      </x:c>
      <x:c r="C42" s="20" t="n">
        <x:v>45672.433333333334</x:v>
      </x:c>
      <x:c r="D42" s="20" t="n">
        <x:v>45672.444444444445</x:v>
      </x:c>
      <x:c r="E42" s="17" t="str">
        <x:v>风控审核一组</x:v>
      </x:c>
      <x:c r="F42" s="17" t="str">
        <x:v>APPROVE</x:v>
      </x:c>
      <x:c r="G42" s="17" t="str">
        <x:v>补充材料验证通过</x:v>
      </x:c>
      <x:c r="H42" s="26" t="n">
        <x:v>16</x:v>
      </x:c>
    </x:row>
    <x:row r="43">
      <x:c r="A43" s="17" t="str">
        <x:v>APP2025000135</x:v>
      </x:c>
      <x:c r="B43" s="17" t="str">
        <x:v>RVW_030038</x:v>
      </x:c>
      <x:c r="C43" s="20" t="n">
        <x:v>45695.65625</x:v>
      </x:c>
      <x:c r="D43" s="20" t="n">
        <x:v>45695.680555555555</x:v>
      </x:c>
      <x:c r="E43" s="17" t="str">
        <x:v>风控审核一组</x:v>
      </x:c>
      <x:c r="F43" s="17" t="str">
        <x:v>APPROVE</x:v>
      </x:c>
      <x:c r="G43" s="17" t="str">
        <x:v>补充材料验证通过</x:v>
      </x:c>
      <x:c r="H43" s="26" t="n">
        <x:v>35</x:v>
      </x:c>
    </x:row>
    <x:row r="44">
      <x:c r="A44" s="17" t="str">
        <x:v>APP2025000137</x:v>
      </x:c>
      <x:c r="B44" s="17" t="str">
        <x:v>RVW_030039</x:v>
      </x:c>
      <x:c r="C44" s="20" t="n">
        <x:v>45750.44305555556</x:v>
      </x:c>
      <x:c r="D44" s="20" t="n">
        <x:v>45750.458333333336</x:v>
      </x:c>
      <x:c r="E44" s="17" t="str">
        <x:v>风控审核一组</x:v>
      </x:c>
      <x:c r="F44" s="17" t="str">
        <x:v>APPROVE</x:v>
      </x:c>
      <x:c r="G44" s="17" t="str">
        <x:v>补充材料验证通过</x:v>
      </x:c>
      <x:c r="H44" s="26" t="n">
        <x:v>22</x:v>
      </x:c>
    </x:row>
    <x:row r="45">
      <x:c r="A45" s="17" t="str">
        <x:v>APP2025000153</x:v>
      </x:c>
      <x:c r="B45" s="17" t="str">
        <x:v>RVW_030040</x:v>
      </x:c>
      <x:c r="C45" s="20" t="n">
        <x:v>45757.652083333334</x:v>
      </x:c>
      <x:c r="D45" s="20" t="n">
        <x:v>45757.65972222222</x:v>
      </x:c>
      <x:c r="E45" s="17" t="str">
        <x:v>风控审核二组</x:v>
      </x:c>
      <x:c r="F45" s="17" t="str">
        <x:v>APPROVE</x:v>
      </x:c>
      <x:c r="G45" s="17" t="str">
        <x:v>补充材料验证通过</x:v>
      </x:c>
      <x:c r="H45" s="26" t="n">
        <x:v>11</x:v>
      </x:c>
    </x:row>
    <x:row r="46">
      <x:c r="A46" s="17" t="str">
        <x:v>APP2025000155</x:v>
      </x:c>
      <x:c r="B46" s="17" t="str">
        <x:v>RVW_030041</x:v>
      </x:c>
      <x:c r="C46" s="20" t="n">
        <x:v>45785.51527777778</x:v>
      </x:c>
      <x:c r="D46" s="20" t="n">
        <x:v>45785.5375</x:v>
      </x:c>
      <x:c r="E46" s="17" t="str">
        <x:v>风控审核一组</x:v>
      </x:c>
      <x:c r="F46" s="17" t="str">
        <x:v>APPROVE</x:v>
      </x:c>
      <x:c r="G46" s="17" t="str">
        <x:v>补充材料验证通过</x:v>
      </x:c>
      <x:c r="H46" s="26" t="n">
        <x:v>32</x:v>
      </x:c>
    </x:row>
    <x:row r="47">
      <x:c r="A47" s="17" t="str">
        <x:v>APP2025000161</x:v>
      </x:c>
      <x:c r="B47" s="17" t="str">
        <x:v>RVW_030042</x:v>
      </x:c>
      <x:c r="C47" s="20" t="n">
        <x:v>45733.52638888889</x:v>
      </x:c>
      <x:c r="D47" s="20" t="n">
        <x:v>45733.56319444445</x:v>
      </x:c>
      <x:c r="E47" s="17" t="str">
        <x:v>风控审核二组</x:v>
      </x:c>
      <x:c r="F47" s="17" t="str">
        <x:v>APPROVE</x:v>
      </x:c>
      <x:c r="G47" s="17" t="str">
        <x:v>补充材料验证通过</x:v>
      </x:c>
      <x:c r="H47" s="26" t="n">
        <x:v>53</x:v>
      </x:c>
    </x:row>
    <x:row r="48">
      <x:c r="A48" s="17" t="str">
        <x:v>APP2025000172</x:v>
      </x:c>
      <x:c r="B48" s="17" t="str">
        <x:v>RVW_030043</x:v>
      </x:c>
      <x:c r="C48" s="20" t="n">
        <x:v>45737.43819444445</x:v>
      </x:c>
      <x:c r="D48" s="20" t="n">
        <x:v>45737.48125</x:v>
      </x:c>
      <x:c r="E48" s="17" t="str">
        <x:v>风控审核二组</x:v>
      </x:c>
      <x:c r="F48" s="17" t="str">
        <x:v>APPROVE</x:v>
      </x:c>
      <x:c r="G48" s="17" t="str">
        <x:v>补充材料验证通过</x:v>
      </x:c>
      <x:c r="H48" s="26" t="n">
        <x:v>62</x:v>
      </x:c>
    </x:row>
    <x:row r="49">
      <x:c r="A49" s="17" t="str">
        <x:v>APP2025000174</x:v>
      </x:c>
      <x:c r="B49" s="17" t="str">
        <x:v>RVW_030044</x:v>
      </x:c>
      <x:c r="C49" s="20" t="n">
        <x:v>45679.64027777778</x:v>
      </x:c>
      <x:c r="D49" s="20" t="n">
        <x:v>45679.663194444445</x:v>
      </x:c>
      <x:c r="E49" s="17" t="str">
        <x:v>风控审核二组</x:v>
      </x:c>
      <x:c r="F49" s="17" t="str">
        <x:v>DECLINE</x:v>
      </x:c>
      <x:c r="G49" s="17" t="str">
        <x:v>负债用途存疑</x:v>
      </x:c>
      <x:c r="H49" s="26" t="n">
        <x:v>33</x:v>
      </x:c>
    </x:row>
    <x:row r="50">
      <x:c r="A50" s="17" t="str">
        <x:v>APP2025000179</x:v>
      </x:c>
      <x:c r="B50" s="17" t="str">
        <x:v>RVW_030045</x:v>
      </x:c>
      <x:c r="C50" s="20" t="n">
        <x:v>45809.43541666667</x:v>
      </x:c>
      <x:c r="D50" s="20" t="n">
        <x:v>45809.4875</x:v>
      </x:c>
      <x:c r="E50" s="17" t="str">
        <x:v>风控审核一组</x:v>
      </x:c>
      <x:c r="F50" s="17" t="str">
        <x:v>APPROVE</x:v>
      </x:c>
      <x:c r="G50" s="17" t="str">
        <x:v>补充材料验证通过</x:v>
      </x:c>
      <x:c r="H50" s="26" t="n">
        <x:v>75</x:v>
      </x:c>
    </x:row>
    <x:row r="51">
      <x:c r="A51" s="17" t="str">
        <x:v>APP2025000180</x:v>
      </x:c>
      <x:c r="B51" s="17" t="str">
        <x:v>RVW_030046</x:v>
      </x:c>
      <x:c r="C51" s="20" t="n">
        <x:v>45778.425</x:v>
      </x:c>
      <x:c r="D51" s="20" t="n">
        <x:v>45778.48125</x:v>
      </x:c>
      <x:c r="E51" s="17" t="str">
        <x:v>风控审核一组</x:v>
      </x:c>
      <x:c r="F51" s="17" t="str">
        <x:v>DECLINE</x:v>
      </x:c>
      <x:c r="G51" s="17" t="str">
        <x:v>收入证明不足</x:v>
      </x:c>
      <x:c r="H51" s="26" t="n">
        <x:v>81</x:v>
      </x:c>
    </x:row>
    <x:row r="52">
      <x:c r="A52" s="17" t="str">
        <x:v>APP2025000182</x:v>
      </x:c>
      <x:c r="B52" s="17" t="str">
        <x:v>RVW_030047</x:v>
      </x:c>
      <x:c r="C52" s="20" t="n">
        <x:v>45790.54861111111</x:v>
      </x:c>
      <x:c r="D52" s="20" t="n">
        <x:v>45790.57916666667</x:v>
      </x:c>
      <x:c r="E52" s="17" t="str">
        <x:v>风控审核二组</x:v>
      </x:c>
      <x:c r="F52" s="17" t="str">
        <x:v>DECLINE</x:v>
      </x:c>
      <x:c r="G52" s="17" t="str">
        <x:v>负债用途存疑</x:v>
      </x:c>
      <x:c r="H52" s="26" t="n">
        <x:v>44</x:v>
      </x:c>
    </x:row>
    <x:row r="53">
      <x:c r="A53" s="17" t="str">
        <x:v>APP2025000189</x:v>
      </x:c>
      <x:c r="B53" s="17" t="str">
        <x:v>RVW_030048</x:v>
      </x:c>
      <x:c r="C53" s="20" t="n">
        <x:v>45697.50625</x:v>
      </x:c>
      <x:c r="D53" s="20" t="n">
        <x:v>45697.5625</x:v>
      </x:c>
      <x:c r="E53" s="17" t="str">
        <x:v>风控审核二组</x:v>
      </x:c>
      <x:c r="F53" s="17" t="str">
        <x:v>APPROVE</x:v>
      </x:c>
      <x:c r="G53" s="17" t="str">
        <x:v>补充材料验证通过</x:v>
      </x:c>
      <x:c r="H53" s="26" t="n">
        <x:v>81</x:v>
      </x:c>
    </x:row>
    <x:row r="54">
      <x:c r="A54" s="17" t="str">
        <x:v>APP2025000190</x:v>
      </x:c>
      <x:c r="B54" s="17" t="str">
        <x:v>RVW_030049</x:v>
      </x:c>
      <x:c r="C54" s="20" t="n">
        <x:v>45799.740277777775</x:v>
      </x:c>
      <x:c r="D54" s="20" t="n">
        <x:v>45799.78402777778</x:v>
      </x:c>
      <x:c r="E54" s="17" t="str">
        <x:v>风控审核一组</x:v>
      </x:c>
      <x:c r="F54" s="17" t="str">
        <x:v>APPROVE</x:v>
      </x:c>
      <x:c r="G54" s="17" t="str">
        <x:v>补充材料验证通过</x:v>
      </x:c>
      <x:c r="H54" s="26" t="n">
        <x:v>63</x:v>
      </x:c>
    </x:row>
    <x:row r="55">
      <x:c r="A55" s="17" t="str">
        <x:v>APP2025000191</x:v>
      </x:c>
      <x:c r="B55" s="17" t="str">
        <x:v>RVW_030050</x:v>
      </x:c>
      <x:c r="C55" s="20" t="n">
        <x:v>45776.643055555556</x:v>
      </x:c>
      <x:c r="D55" s="20" t="n">
        <x:v>45776.68402777778</x:v>
      </x:c>
      <x:c r="E55" s="17" t="str">
        <x:v>风控审核一组</x:v>
      </x:c>
      <x:c r="F55" s="17" t="str">
        <x:v>DECLINE</x:v>
      </x:c>
      <x:c r="G55" s="17" t="str">
        <x:v>还款能力不足</x:v>
      </x:c>
      <x:c r="H55" s="26" t="n">
        <x:v>59</x:v>
      </x:c>
    </x:row>
    <x:row r="56">
      <x:c r="A56" s="17" t="str">
        <x:v>APP2025000192</x:v>
      </x:c>
      <x:c r="B56" s="17" t="str">
        <x:v>RVW_030051</x:v>
      </x:c>
      <x:c r="C56" s="20" t="n">
        <x:v>45662.697916666664</x:v>
      </x:c>
      <x:c r="D56" s="20" t="n">
        <x:v>45662.71805555555</x:v>
      </x:c>
      <x:c r="E56" s="17" t="str">
        <x:v>风控审核二组</x:v>
      </x:c>
      <x:c r="F56" s="17" t="str">
        <x:v>DECLINE</x:v>
      </x:c>
      <x:c r="G56" s="17" t="str">
        <x:v>负债用途存疑</x:v>
      </x:c>
      <x:c r="H56" s="26" t="n">
        <x:v>29</x:v>
      </x:c>
    </x:row>
    <x:row r="57">
      <x:c r="A57" s="18" t="str">
        <x:v>APP2025000197</x:v>
      </x:c>
      <x:c r="B57" s="18" t="str">
        <x:v>RVW_030052</x:v>
      </x:c>
      <x:c r="C57" s="21" t="n">
        <x:v>45811.74513888889</x:v>
      </x:c>
      <x:c r="D57" s="21" t="n">
        <x:v>45811.78194444445</x:v>
      </x:c>
      <x:c r="E57" s="18" t="str">
        <x:v>风控审核二组</x:v>
      </x:c>
      <x:c r="F57" s="18" t="str">
        <x:v>APPROVE</x:v>
      </x:c>
      <x:c r="G57" s="18" t="str">
        <x:v>补充材料验证通过</x:v>
      </x:c>
      <x:c r="H57" s="27" t="n">
        <x:v>53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  <x:col min="8" max="8" width="17" hidden="0" customWidth="1"/>
    <x:col min="9" max="9" width="18" hidden="0" customWidth="1"/>
    <x:col min="10" max="10" width="16" hidden="0" customWidth="1"/>
  </x:cols>
  <x:sheetData>
    <x:row r="1" ht="30" customHeight="1">
      <x:c r="A1" s="3" t="str">
        <x:v>05｜放款与贷后表现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来源：账务/贷后系统。仅已放款申请存在贷后表现；未放款客户不能当作“未逾期”。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1" t="str">
        <x:v>application_id</x:v>
      </x:c>
      <x:c r="B4" s="11" t="str">
        <x:v>funded_flag</x:v>
      </x:c>
      <x:c r="C4" s="11" t="str">
        <x:v>funding_date</x:v>
      </x:c>
      <x:c r="D4" s="11" t="str">
        <x:v>funded_amount</x:v>
      </x:c>
      <x:c r="E4" s="11" t="str">
        <x:v>first_due_date</x:v>
      </x:c>
      <x:c r="F4" s="11" t="str">
        <x:v>bad30</x:v>
      </x:c>
      <x:c r="G4" s="11" t="str">
        <x:v>bad90</x:v>
      </x:c>
      <x:c r="H4" s="11" t="str">
        <x:v>observed_months</x:v>
      </x:c>
      <x:c r="I4" s="11" t="str">
        <x:v>total_paid_amount</x:v>
      </x:c>
      <x:c r="J4" s="11" t="str">
        <x:v>current_status</x:v>
      </x:c>
    </x:row>
    <x:row r="5">
      <x:c r="A5" s="16" t="str">
        <x:v>APP2025000001</x:v>
      </x:c>
      <x:c r="B5" s="16" t="str">
        <x:v>Y</x:v>
      </x:c>
      <x:c r="C5" s="31" t="n">
        <x:v>45804.52569444444</x:v>
      </x:c>
      <x:c r="D5" s="22" t="n">
        <x:v>52000</x:v>
      </x:c>
      <x:c r="E5" s="31" t="n">
        <x:v>45834.52569444444</x:v>
      </x:c>
      <x:c r="F5" s="16" t="str">
        <x:v>N</x:v>
      </x:c>
      <x:c r="G5" s="16" t="str">
        <x:v>N</x:v>
      </x:c>
      <x:c r="H5" s="25" t="n">
        <x:v>12</x:v>
      </x:c>
      <x:c r="I5" s="22" t="n">
        <x:v>41540</x:v>
      </x:c>
      <x:c r="J5" s="16" t="str">
        <x:v>CURRENT</x:v>
      </x:c>
    </x:row>
    <x:row r="6">
      <x:c r="A6" s="17" t="str">
        <x:v>APP2025000002</x:v>
      </x:c>
      <x:c r="B6" s="17" t="str">
        <x:v>Y</x:v>
      </x:c>
      <x:c r="C6" s="32" t="n">
        <x:v>45754.525</x:v>
      </x:c>
      <x:c r="D6" s="23" t="n">
        <x:v>9000</x:v>
      </x:c>
      <x:c r="E6" s="32" t="n">
        <x:v>45784.525</x:v>
      </x:c>
      <x:c r="F6" s="17" t="str">
        <x:v>N</x:v>
      </x:c>
      <x:c r="G6" s="17" t="str">
        <x:v>N</x:v>
      </x:c>
      <x:c r="H6" s="26" t="n">
        <x:v>7</x:v>
      </x:c>
      <x:c r="I6" s="23" t="n">
        <x:v>7767</x:v>
      </x:c>
      <x:c r="J6" s="17" t="str">
        <x:v>CURRENT</x:v>
      </x:c>
    </x:row>
    <x:row r="7">
      <x:c r="A7" s="17" t="str">
        <x:v>APP2025000005</x:v>
      </x:c>
      <x:c r="B7" s="17" t="str">
        <x:v>Y</x:v>
      </x:c>
      <x:c r="C7" s="32" t="n">
        <x:v>45819.41736111111</x:v>
      </x:c>
      <x:c r="D7" s="23" t="n">
        <x:v>91000</x:v>
      </x:c>
      <x:c r="E7" s="32" t="n">
        <x:v>45849.41736111111</x:v>
      </x:c>
      <x:c r="F7" s="17" t="str">
        <x:v>N</x:v>
      </x:c>
      <x:c r="G7" s="17" t="str">
        <x:v>N</x:v>
      </x:c>
      <x:c r="H7" s="26" t="n">
        <x:v>14</x:v>
      </x:c>
      <x:c r="I7" s="23" t="n">
        <x:v>88548</x:v>
      </x:c>
      <x:c r="J7" s="17" t="str">
        <x:v>SETTLED</x:v>
      </x:c>
    </x:row>
    <x:row r="8">
      <x:c r="A8" s="17" t="str">
        <x:v>APP2025000006</x:v>
      </x:c>
      <x:c r="B8" s="17" t="str">
        <x:v>Y</x:v>
      </x:c>
      <x:c r="C8" s="32" t="n">
        <x:v>45781.50763888889</x:v>
      </x:c>
      <x:c r="D8" s="23" t="n">
        <x:v>70000</x:v>
      </x:c>
      <x:c r="E8" s="32" t="n">
        <x:v>45811.50763888889</x:v>
      </x:c>
      <x:c r="F8" s="17" t="str">
        <x:v>N</x:v>
      </x:c>
      <x:c r="G8" s="17" t="str">
        <x:v>N</x:v>
      </x:c>
      <x:c r="H8" s="26" t="n">
        <x:v>9</x:v>
      </x:c>
      <x:c r="I8" s="23" t="n">
        <x:v>68696</x:v>
      </x:c>
      <x:c r="J8" s="17" t="str">
        <x:v>CURRENT</x:v>
      </x:c>
    </x:row>
    <x:row r="9">
      <x:c r="A9" s="17" t="str">
        <x:v>APP2025000007</x:v>
      </x:c>
      <x:c r="B9" s="17" t="str">
        <x:v>Y</x:v>
      </x:c>
      <x:c r="C9" s="32" t="n">
        <x:v>45751.541666666664</x:v>
      </x:c>
      <x:c r="D9" s="23" t="n">
        <x:v>30000</x:v>
      </x:c>
      <x:c r="E9" s="32" t="n">
        <x:v>45781.541666666664</x:v>
      </x:c>
      <x:c r="F9" s="17" t="str">
        <x:v>N</x:v>
      </x:c>
      <x:c r="G9" s="17" t="str">
        <x:v>N</x:v>
      </x:c>
      <x:c r="H9" s="26" t="n">
        <x:v>6</x:v>
      </x:c>
      <x:c r="I9" s="23" t="n">
        <x:v>28189</x:v>
      </x:c>
      <x:c r="J9" s="17" t="str">
        <x:v>SETTLED</x:v>
      </x:c>
    </x:row>
    <x:row r="10">
      <x:c r="A10" s="17" t="str">
        <x:v>APP2025000008</x:v>
      </x:c>
      <x:c r="B10" s="17" t="str">
        <x:v>Y</x:v>
      </x:c>
      <x:c r="C10" s="32" t="n">
        <x:v>45749.53055555555</x:v>
      </x:c>
      <x:c r="D10" s="23" t="n">
        <x:v>27000</x:v>
      </x:c>
      <x:c r="E10" s="32" t="n">
        <x:v>45779.53055555555</x:v>
      </x:c>
      <x:c r="F10" s="17" t="str">
        <x:v>N</x:v>
      </x:c>
      <x:c r="G10" s="17" t="str">
        <x:v>N</x:v>
      </x:c>
      <x:c r="H10" s="26" t="n">
        <x:v>7</x:v>
      </x:c>
      <x:c r="I10" s="23" t="n">
        <x:v>24874</x:v>
      </x:c>
      <x:c r="J10" s="17" t="str">
        <x:v>CURRENT</x:v>
      </x:c>
    </x:row>
    <x:row r="11">
      <x:c r="A11" s="17" t="str">
        <x:v>APP2025000009</x:v>
      </x:c>
      <x:c r="B11" s="17" t="str">
        <x:v>Y</x:v>
      </x:c>
      <x:c r="C11" s="32" t="n">
        <x:v>45757.489583333336</x:v>
      </x:c>
      <x:c r="D11" s="23" t="n">
        <x:v>32000</x:v>
      </x:c>
      <x:c r="E11" s="32" t="n">
        <x:v>45787.489583333336</x:v>
      </x:c>
      <x:c r="F11" s="17" t="str">
        <x:v>N</x:v>
      </x:c>
      <x:c r="G11" s="17" t="str">
        <x:v>N</x:v>
      </x:c>
      <x:c r="H11" s="26" t="n">
        <x:v>7</x:v>
      </x:c>
      <x:c r="I11" s="23" t="n">
        <x:v>29533</x:v>
      </x:c>
      <x:c r="J11" s="17" t="str">
        <x:v>CURRENT</x:v>
      </x:c>
    </x:row>
    <x:row r="12">
      <x:c r="A12" s="17" t="str">
        <x:v>APP2025000010</x:v>
      </x:c>
      <x:c r="B12" s="17" t="str">
        <x:v>Y</x:v>
      </x:c>
      <x:c r="C12" s="32" t="n">
        <x:v>45676.65277777778</x:v>
      </x:c>
      <x:c r="D12" s="23" t="n">
        <x:v>84000</x:v>
      </x:c>
      <x:c r="E12" s="32" t="n">
        <x:v>45706.65277777778</x:v>
      </x:c>
      <x:c r="F12" s="17" t="str">
        <x:v>N</x:v>
      </x:c>
      <x:c r="G12" s="17" t="str">
        <x:v>N</x:v>
      </x:c>
      <x:c r="H12" s="26" t="n">
        <x:v>15</x:v>
      </x:c>
      <x:c r="I12" s="23" t="n">
        <x:v>74503</x:v>
      </x:c>
      <x:c r="J12" s="17" t="str">
        <x:v>CURRENT</x:v>
      </x:c>
    </x:row>
    <x:row r="13">
      <x:c r="A13" s="17" t="str">
        <x:v>APP2025000011</x:v>
      </x:c>
      <x:c r="B13" s="17" t="str">
        <x:v>Y</x:v>
      </x:c>
      <x:c r="C13" s="32" t="n">
        <x:v>45747.544444444444</x:v>
      </x:c>
      <x:c r="D13" s="23" t="n">
        <x:v>76000</x:v>
      </x:c>
      <x:c r="E13" s="32" t="n">
        <x:v>45777.544444444444</x:v>
      </x:c>
      <x:c r="F13" s="17" t="str">
        <x:v>N</x:v>
      </x:c>
      <x:c r="G13" s="17" t="str">
        <x:v>N</x:v>
      </x:c>
      <x:c r="H13" s="26" t="n">
        <x:v>12</x:v>
      </x:c>
      <x:c r="I13" s="23" t="n">
        <x:v>73197</x:v>
      </x:c>
      <x:c r="J13" s="17" t="str">
        <x:v>CURRENT</x:v>
      </x:c>
    </x:row>
    <x:row r="14">
      <x:c r="A14" s="17" t="str">
        <x:v>APP2025000012</x:v>
      </x:c>
      <x:c r="B14" s="17" t="str">
        <x:v>Y</x:v>
      </x:c>
      <x:c r="C14" s="32" t="n">
        <x:v>45753.64166666667</x:v>
      </x:c>
      <x:c r="D14" s="23" t="n">
        <x:v>27000</x:v>
      </x:c>
      <x:c r="E14" s="32" t="n">
        <x:v>45783.64166666667</x:v>
      </x:c>
      <x:c r="F14" s="17" t="str">
        <x:v>N</x:v>
      </x:c>
      <x:c r="G14" s="17" t="str">
        <x:v>N</x:v>
      </x:c>
      <x:c r="H14" s="26" t="n">
        <x:v>6</x:v>
      </x:c>
      <x:c r="I14" s="23" t="n">
        <x:v>26528</x:v>
      </x:c>
      <x:c r="J14" s="17" t="str">
        <x:v>CURRENT</x:v>
      </x:c>
    </x:row>
    <x:row r="15">
      <x:c r="A15" s="17" t="str">
        <x:v>APP2025000013</x:v>
      </x:c>
      <x:c r="B15" s="17" t="str">
        <x:v>Y</x:v>
      </x:c>
      <x:c r="C15" s="32" t="n">
        <x:v>45825.62013888889</x:v>
      </x:c>
      <x:c r="D15" s="23" t="n">
        <x:v>83000</x:v>
      </x:c>
      <x:c r="E15" s="32" t="n">
        <x:v>45855.62013888889</x:v>
      </x:c>
      <x:c r="F15" s="17" t="str">
        <x:v>N</x:v>
      </x:c>
      <x:c r="G15" s="17" t="str">
        <x:v>N</x:v>
      </x:c>
      <x:c r="H15" s="26" t="n">
        <x:v>15</x:v>
      </x:c>
      <x:c r="I15" s="23" t="n">
        <x:v>76815</x:v>
      </x:c>
      <x:c r="J15" s="17" t="str">
        <x:v>CURRENT</x:v>
      </x:c>
    </x:row>
    <x:row r="16">
      <x:c r="A16" s="17" t="str">
        <x:v>APP2025000015</x:v>
      </x:c>
      <x:c r="B16" s="17" t="str">
        <x:v>Y</x:v>
      </x:c>
      <x:c r="C16" s="32" t="n">
        <x:v>45740.62430555555</x:v>
      </x:c>
      <x:c r="D16" s="23" t="n">
        <x:v>10000</x:v>
      </x:c>
      <x:c r="E16" s="32" t="n">
        <x:v>45770.62430555555</x:v>
      </x:c>
      <x:c r="F16" s="17" t="str">
        <x:v>Y</x:v>
      </x:c>
      <x:c r="G16" s="17" t="str">
        <x:v>Y</x:v>
      </x:c>
      <x:c r="H16" s="26" t="n">
        <x:v>13</x:v>
      </x:c>
      <x:c r="I16" s="23" t="n">
        <x:v>3756</x:v>
      </x:c>
      <x:c r="J16" s="17" t="str">
        <x:v>OVERDUE_90</x:v>
      </x:c>
    </x:row>
    <x:row r="17">
      <x:c r="A17" s="17" t="str">
        <x:v>APP2025000017</x:v>
      </x:c>
      <x:c r="B17" s="17" t="str">
        <x:v>Y</x:v>
      </x:c>
      <x:c r="C17" s="32" t="n">
        <x:v>45741.43819444445</x:v>
      </x:c>
      <x:c r="D17" s="23" t="n">
        <x:v>60000</x:v>
      </x:c>
      <x:c r="E17" s="32" t="n">
        <x:v>45771.43819444445</x:v>
      </x:c>
      <x:c r="F17" s="17" t="str">
        <x:v>N</x:v>
      </x:c>
      <x:c r="G17" s="17" t="str">
        <x:v>N</x:v>
      </x:c>
      <x:c r="H17" s="26" t="n">
        <x:v>9</x:v>
      </x:c>
      <x:c r="I17" s="23" t="n">
        <x:v>45113</x:v>
      </x:c>
      <x:c r="J17" s="17" t="str">
        <x:v>CURRENT</x:v>
      </x:c>
    </x:row>
    <x:row r="18">
      <x:c r="A18" s="17" t="str">
        <x:v>APP2025000018</x:v>
      </x:c>
      <x:c r="B18" s="17" t="str">
        <x:v>Y</x:v>
      </x:c>
      <x:c r="C18" s="32" t="n">
        <x:v>45707.413194444445</x:v>
      </x:c>
      <x:c r="D18" s="23" t="n">
        <x:v>64000</x:v>
      </x:c>
      <x:c r="E18" s="32" t="n">
        <x:v>45737.413194444445</x:v>
      </x:c>
      <x:c r="F18" s="17" t="str">
        <x:v>N</x:v>
      </x:c>
      <x:c r="G18" s="17" t="str">
        <x:v>N</x:v>
      </x:c>
      <x:c r="H18" s="26" t="n">
        <x:v>7</x:v>
      </x:c>
      <x:c r="I18" s="23" t="n">
        <x:v>63077</x:v>
      </x:c>
      <x:c r="J18" s="17" t="str">
        <x:v>CURRENT</x:v>
      </x:c>
    </x:row>
    <x:row r="19">
      <x:c r="A19" s="17" t="str">
        <x:v>APP2025000019</x:v>
      </x:c>
      <x:c r="B19" s="17" t="str">
        <x:v>Y</x:v>
      </x:c>
      <x:c r="C19" s="32" t="n">
        <x:v>45786.52013888889</x:v>
      </x:c>
      <x:c r="D19" s="23" t="n">
        <x:v>111000</x:v>
      </x:c>
      <x:c r="E19" s="32" t="n">
        <x:v>45816.52013888889</x:v>
      </x:c>
      <x:c r="F19" s="17" t="str">
        <x:v>N</x:v>
      </x:c>
      <x:c r="G19" s="17" t="str">
        <x:v>N</x:v>
      </x:c>
      <x:c r="H19" s="26" t="n">
        <x:v>14</x:v>
      </x:c>
      <x:c r="I19" s="23" t="n">
        <x:v>103483</x:v>
      </x:c>
      <x:c r="J19" s="17" t="str">
        <x:v>CURRENT</x:v>
      </x:c>
    </x:row>
    <x:row r="20">
      <x:c r="A20" s="17" t="str">
        <x:v>APP2025000020</x:v>
      </x:c>
      <x:c r="B20" s="17" t="str">
        <x:v>Y</x:v>
      </x:c>
      <x:c r="C20" s="32" t="n">
        <x:v>45702.66805555556</x:v>
      </x:c>
      <x:c r="D20" s="23" t="n">
        <x:v>65000</x:v>
      </x:c>
      <x:c r="E20" s="32" t="n">
        <x:v>45732.66805555556</x:v>
      </x:c>
      <x:c r="F20" s="17" t="str">
        <x:v>N</x:v>
      </x:c>
      <x:c r="G20" s="17" t="str">
        <x:v>N</x:v>
      </x:c>
      <x:c r="H20" s="26" t="n">
        <x:v>9</x:v>
      </x:c>
      <x:c r="I20" s="23" t="n">
        <x:v>52641</x:v>
      </x:c>
      <x:c r="J20" s="17" t="str">
        <x:v>CURRENT</x:v>
      </x:c>
    </x:row>
    <x:row r="21">
      <x:c r="A21" s="17" t="str">
        <x:v>APP2025000021</x:v>
      </x:c>
      <x:c r="B21" s="17" t="str">
        <x:v>Y</x:v>
      </x:c>
      <x:c r="C21" s="32" t="n">
        <x:v>45822.51944444444</x:v>
      </x:c>
      <x:c r="D21" s="23" t="n">
        <x:v>104000</x:v>
      </x:c>
      <x:c r="E21" s="32" t="n">
        <x:v>45852.51944444444</x:v>
      </x:c>
      <x:c r="F21" s="17" t="str">
        <x:v>N</x:v>
      </x:c>
      <x:c r="G21" s="17" t="str">
        <x:v>N</x:v>
      </x:c>
      <x:c r="H21" s="26" t="n">
        <x:v>13</x:v>
      </x:c>
      <x:c r="I21" s="23" t="n">
        <x:v>91263</x:v>
      </x:c>
      <x:c r="J21" s="17" t="str">
        <x:v>CURRENT</x:v>
      </x:c>
    </x:row>
    <x:row r="22">
      <x:c r="A22" s="17" t="str">
        <x:v>APP2025000024</x:v>
      </x:c>
      <x:c r="B22" s="17" t="str">
        <x:v>Y</x:v>
      </x:c>
      <x:c r="C22" s="32" t="n">
        <x:v>45689.50486111111</x:v>
      </x:c>
      <x:c r="D22" s="23" t="n">
        <x:v>118000</x:v>
      </x:c>
      <x:c r="E22" s="32" t="n">
        <x:v>45719.50486111111</x:v>
      </x:c>
      <x:c r="F22" s="17" t="str">
        <x:v>N</x:v>
      </x:c>
      <x:c r="G22" s="17" t="str">
        <x:v>N</x:v>
      </x:c>
      <x:c r="H22" s="26" t="n">
        <x:v>8</x:v>
      </x:c>
      <x:c r="I22" s="23" t="n">
        <x:v>96499</x:v>
      </x:c>
      <x:c r="J22" s="17" t="str">
        <x:v>CURRENT</x:v>
      </x:c>
    </x:row>
    <x:row r="23">
      <x:c r="A23" s="17" t="str">
        <x:v>APP2025000025</x:v>
      </x:c>
      <x:c r="B23" s="17" t="str">
        <x:v>Y</x:v>
      </x:c>
      <x:c r="C23" s="32" t="n">
        <x:v>45735.64861111111</x:v>
      </x:c>
      <x:c r="D23" s="23" t="n">
        <x:v>27000</x:v>
      </x:c>
      <x:c r="E23" s="32" t="n">
        <x:v>45765.64861111111</x:v>
      </x:c>
      <x:c r="F23" s="17" t="str">
        <x:v>N</x:v>
      </x:c>
      <x:c r="G23" s="17" t="str">
        <x:v>N</x:v>
      </x:c>
      <x:c r="H23" s="26" t="n">
        <x:v>10</x:v>
      </x:c>
      <x:c r="I23" s="23" t="n">
        <x:v>23126</x:v>
      </x:c>
      <x:c r="J23" s="17" t="str">
        <x:v>SETTLED</x:v>
      </x:c>
    </x:row>
    <x:row r="24">
      <x:c r="A24" s="17" t="str">
        <x:v>APP2025000027</x:v>
      </x:c>
      <x:c r="B24" s="17" t="str">
        <x:v>Y</x:v>
      </x:c>
      <x:c r="C24" s="32" t="n">
        <x:v>45677.53333333333</x:v>
      </x:c>
      <x:c r="D24" s="23" t="n">
        <x:v>51000</x:v>
      </x:c>
      <x:c r="E24" s="32" t="n">
        <x:v>45707.53333333333</x:v>
      </x:c>
      <x:c r="F24" s="17" t="str">
        <x:v>N</x:v>
      </x:c>
      <x:c r="G24" s="17" t="str">
        <x:v>N</x:v>
      </x:c>
      <x:c r="H24" s="26" t="n">
        <x:v>9</x:v>
      </x:c>
      <x:c r="I24" s="23" t="n">
        <x:v>40514</x:v>
      </x:c>
      <x:c r="J24" s="17" t="str">
        <x:v>CURRENT</x:v>
      </x:c>
    </x:row>
    <x:row r="25">
      <x:c r="A25" s="17" t="str">
        <x:v>APP2025000030</x:v>
      </x:c>
      <x:c r="B25" s="17" t="str">
        <x:v>Y</x:v>
      </x:c>
      <x:c r="C25" s="32" t="n">
        <x:v>45790.686111111114</x:v>
      </x:c>
      <x:c r="D25" s="23" t="n">
        <x:v>92000</x:v>
      </x:c>
      <x:c r="E25" s="32" t="n">
        <x:v>45820.686111111114</x:v>
      </x:c>
      <x:c r="F25" s="17" t="str">
        <x:v>N</x:v>
      </x:c>
      <x:c r="G25" s="17" t="str">
        <x:v>N</x:v>
      </x:c>
      <x:c r="H25" s="26" t="n">
        <x:v>15</x:v>
      </x:c>
      <x:c r="I25" s="23" t="n">
        <x:v>85409</x:v>
      </x:c>
      <x:c r="J25" s="17" t="str">
        <x:v>CURRENT</x:v>
      </x:c>
    </x:row>
    <x:row r="26">
      <x:c r="A26" s="17" t="str">
        <x:v>APP2025000031</x:v>
      </x:c>
      <x:c r="B26" s="17" t="str">
        <x:v>Y</x:v>
      </x:c>
      <x:c r="C26" s="32" t="n">
        <x:v>45733.75</x:v>
      </x:c>
      <x:c r="D26" s="23" t="n">
        <x:v>105000</x:v>
      </x:c>
      <x:c r="E26" s="32" t="n">
        <x:v>45763.75</x:v>
      </x:c>
      <x:c r="F26" s="17" t="str">
        <x:v>N</x:v>
      </x:c>
      <x:c r="G26" s="17" t="str">
        <x:v>N</x:v>
      </x:c>
      <x:c r="H26" s="26" t="n">
        <x:v>11</x:v>
      </x:c>
      <x:c r="I26" s="23" t="n">
        <x:v>96885</x:v>
      </x:c>
      <x:c r="J26" s="17" t="str">
        <x:v>CURRENT</x:v>
      </x:c>
    </x:row>
    <x:row r="27">
      <x:c r="A27" s="17" t="str">
        <x:v>APP2025000032</x:v>
      </x:c>
      <x:c r="B27" s="17" t="str">
        <x:v>Y</x:v>
      </x:c>
      <x:c r="C27" s="32" t="n">
        <x:v>45808.459027777775</x:v>
      </x:c>
      <x:c r="D27" s="23" t="n">
        <x:v>83000</x:v>
      </x:c>
      <x:c r="E27" s="32" t="n">
        <x:v>45838.459027777775</x:v>
      </x:c>
      <x:c r="F27" s="17" t="str">
        <x:v>N</x:v>
      </x:c>
      <x:c r="G27" s="17" t="str">
        <x:v>N</x:v>
      </x:c>
      <x:c r="H27" s="26" t="n">
        <x:v>12</x:v>
      </x:c>
      <x:c r="I27" s="23" t="n">
        <x:v>64077</x:v>
      </x:c>
      <x:c r="J27" s="17" t="str">
        <x:v>CURRENT</x:v>
      </x:c>
    </x:row>
    <x:row r="28">
      <x:c r="A28" s="17" t="str">
        <x:v>APP2025000033</x:v>
      </x:c>
      <x:c r="B28" s="17" t="str">
        <x:v>Y</x:v>
      </x:c>
      <x:c r="C28" s="32" t="n">
        <x:v>45778.35</x:v>
      </x:c>
      <x:c r="D28" s="23" t="n">
        <x:v>37000</x:v>
      </x:c>
      <x:c r="E28" s="32" t="n">
        <x:v>45808.35</x:v>
      </x:c>
      <x:c r="F28" s="17" t="str">
        <x:v>N</x:v>
      </x:c>
      <x:c r="G28" s="17" t="str">
        <x:v>N</x:v>
      </x:c>
      <x:c r="H28" s="26" t="n">
        <x:v>15</x:v>
      </x:c>
      <x:c r="I28" s="23" t="n">
        <x:v>34479</x:v>
      </x:c>
      <x:c r="J28" s="17" t="str">
        <x:v>SETTLED</x:v>
      </x:c>
    </x:row>
    <x:row r="29">
      <x:c r="A29" s="17" t="str">
        <x:v>APP2025000035</x:v>
      </x:c>
      <x:c r="B29" s="17" t="str">
        <x:v>Y</x:v>
      </x:c>
      <x:c r="C29" s="32" t="n">
        <x:v>45760.64513888889</x:v>
      </x:c>
      <x:c r="D29" s="23" t="n">
        <x:v>75000</x:v>
      </x:c>
      <x:c r="E29" s="32" t="n">
        <x:v>45790.64513888889</x:v>
      </x:c>
      <x:c r="F29" s="17" t="str">
        <x:v>N</x:v>
      </x:c>
      <x:c r="G29" s="17" t="str">
        <x:v>N</x:v>
      </x:c>
      <x:c r="H29" s="26" t="n">
        <x:v>11</x:v>
      </x:c>
      <x:c r="I29" s="23" t="n">
        <x:v>57148</x:v>
      </x:c>
      <x:c r="J29" s="17" t="str">
        <x:v>CURRENT</x:v>
      </x:c>
    </x:row>
    <x:row r="30">
      <x:c r="A30" s="17" t="str">
        <x:v>APP2025000038</x:v>
      </x:c>
      <x:c r="B30" s="17" t="str">
        <x:v>Y</x:v>
      </x:c>
      <x:c r="C30" s="32" t="n">
        <x:v>45826.74652777778</x:v>
      </x:c>
      <x:c r="D30" s="23" t="n">
        <x:v>122000</x:v>
      </x:c>
      <x:c r="E30" s="32" t="n">
        <x:v>45856.74652777778</x:v>
      </x:c>
      <x:c r="F30" s="17" t="str">
        <x:v>N</x:v>
      </x:c>
      <x:c r="G30" s="17" t="str">
        <x:v>N</x:v>
      </x:c>
      <x:c r="H30" s="26" t="n">
        <x:v>13</x:v>
      </x:c>
      <x:c r="I30" s="23" t="n">
        <x:v>95142</x:v>
      </x:c>
      <x:c r="J30" s="17" t="str">
        <x:v>CURRENT</x:v>
      </x:c>
    </x:row>
    <x:row r="31">
      <x:c r="A31" s="17" t="str">
        <x:v>APP2025000039</x:v>
      </x:c>
      <x:c r="B31" s="17" t="str">
        <x:v>Y</x:v>
      </x:c>
      <x:c r="C31" s="32" t="n">
        <x:v>45744.540972222225</x:v>
      </x:c>
      <x:c r="D31" s="23" t="n">
        <x:v>99000</x:v>
      </x:c>
      <x:c r="E31" s="32" t="n">
        <x:v>45774.540972222225</x:v>
      </x:c>
      <x:c r="F31" s="17" t="str">
        <x:v>N</x:v>
      </x:c>
      <x:c r="G31" s="17" t="str">
        <x:v>N</x:v>
      </x:c>
      <x:c r="H31" s="26" t="n">
        <x:v>15</x:v>
      </x:c>
      <x:c r="I31" s="23" t="n">
        <x:v>86849</x:v>
      </x:c>
      <x:c r="J31" s="17" t="str">
        <x:v>CURRENT</x:v>
      </x:c>
    </x:row>
    <x:row r="32">
      <x:c r="A32" s="17" t="str">
        <x:v>APP2025000041</x:v>
      </x:c>
      <x:c r="B32" s="17" t="str">
        <x:v>Y</x:v>
      </x:c>
      <x:c r="C32" s="32" t="n">
        <x:v>45782.38125</x:v>
      </x:c>
      <x:c r="D32" s="23" t="n">
        <x:v>38000</x:v>
      </x:c>
      <x:c r="E32" s="32" t="n">
        <x:v>45812.38125</x:v>
      </x:c>
      <x:c r="F32" s="17" t="str">
        <x:v>N</x:v>
      </x:c>
      <x:c r="G32" s="17" t="str">
        <x:v>N</x:v>
      </x:c>
      <x:c r="H32" s="26" t="n">
        <x:v>6</x:v>
      </x:c>
      <x:c r="I32" s="23" t="n">
        <x:v>35557</x:v>
      </x:c>
      <x:c r="J32" s="17" t="str">
        <x:v>CURRENT</x:v>
      </x:c>
    </x:row>
    <x:row r="33">
      <x:c r="A33" s="17" t="str">
        <x:v>APP2025000042</x:v>
      </x:c>
      <x:c r="B33" s="17" t="str">
        <x:v>Y</x:v>
      </x:c>
      <x:c r="C33" s="32" t="n">
        <x:v>45760.69236111111</x:v>
      </x:c>
      <x:c r="D33" s="23" t="n">
        <x:v>102000</x:v>
      </x:c>
      <x:c r="E33" s="32" t="n">
        <x:v>45790.69236111111</x:v>
      </x:c>
      <x:c r="F33" s="17" t="str">
        <x:v>N</x:v>
      </x:c>
      <x:c r="G33" s="17" t="str">
        <x:v>N</x:v>
      </x:c>
      <x:c r="H33" s="26" t="n">
        <x:v>7</x:v>
      </x:c>
      <x:c r="I33" s="23" t="n">
        <x:v>98550</x:v>
      </x:c>
      <x:c r="J33" s="17" t="str">
        <x:v>CURRENT</x:v>
      </x:c>
    </x:row>
    <x:row r="34">
      <x:c r="A34" s="17" t="str">
        <x:v>APP2025000043</x:v>
      </x:c>
      <x:c r="B34" s="17" t="str">
        <x:v>Y</x:v>
      </x:c>
      <x:c r="C34" s="32" t="n">
        <x:v>45818.7375</x:v>
      </x:c>
      <x:c r="D34" s="23" t="n">
        <x:v>15000</x:v>
      </x:c>
      <x:c r="E34" s="32" t="n">
        <x:v>45848.7375</x:v>
      </x:c>
      <x:c r="F34" s="17" t="str">
        <x:v>N</x:v>
      </x:c>
      <x:c r="G34" s="17" t="str">
        <x:v>N</x:v>
      </x:c>
      <x:c r="H34" s="26" t="n">
        <x:v>6</x:v>
      </x:c>
      <x:c r="I34" s="23" t="n">
        <x:v>12945</x:v>
      </x:c>
      <x:c r="J34" s="17" t="str">
        <x:v>SETTLED</x:v>
      </x:c>
    </x:row>
    <x:row r="35">
      <x:c r="A35" s="17" t="str">
        <x:v>APP2025000044</x:v>
      </x:c>
      <x:c r="B35" s="17" t="str">
        <x:v>Y</x:v>
      </x:c>
      <x:c r="C35" s="32" t="n">
        <x:v>45704.46944444445</x:v>
      </x:c>
      <x:c r="D35" s="23" t="n">
        <x:v>35000</x:v>
      </x:c>
      <x:c r="E35" s="32" t="n">
        <x:v>45734.46944444445</x:v>
      </x:c>
      <x:c r="F35" s="17" t="str">
        <x:v>N</x:v>
      </x:c>
      <x:c r="G35" s="17" t="str">
        <x:v>N</x:v>
      </x:c>
      <x:c r="H35" s="26" t="n">
        <x:v>10</x:v>
      </x:c>
      <x:c r="I35" s="23" t="n">
        <x:v>27861</x:v>
      </x:c>
      <x:c r="J35" s="17" t="str">
        <x:v>CURRENT</x:v>
      </x:c>
    </x:row>
    <x:row r="36">
      <x:c r="A36" s="17" t="str">
        <x:v>APP2025000045</x:v>
      </x:c>
      <x:c r="B36" s="17" t="str">
        <x:v>Y</x:v>
      </x:c>
      <x:c r="C36" s="32" t="n">
        <x:v>45694.44861111111</x:v>
      </x:c>
      <x:c r="D36" s="23" t="n">
        <x:v>103000</x:v>
      </x:c>
      <x:c r="E36" s="32" t="n">
        <x:v>45724.44861111111</x:v>
      </x:c>
      <x:c r="F36" s="17" t="str">
        <x:v>N</x:v>
      </x:c>
      <x:c r="G36" s="17" t="str">
        <x:v>N</x:v>
      </x:c>
      <x:c r="H36" s="26" t="n">
        <x:v>15</x:v>
      </x:c>
      <x:c r="I36" s="23" t="n">
        <x:v>82621</x:v>
      </x:c>
      <x:c r="J36" s="17" t="str">
        <x:v>CURRENT</x:v>
      </x:c>
    </x:row>
    <x:row r="37">
      <x:c r="A37" s="17" t="str">
        <x:v>APP2025000047</x:v>
      </x:c>
      <x:c r="B37" s="17" t="str">
        <x:v>Y</x:v>
      </x:c>
      <x:c r="C37" s="32" t="n">
        <x:v>45795.63402777778</x:v>
      </x:c>
      <x:c r="D37" s="23" t="n">
        <x:v>106000</x:v>
      </x:c>
      <x:c r="E37" s="32" t="n">
        <x:v>45825.63402777778</x:v>
      </x:c>
      <x:c r="F37" s="17" t="str">
        <x:v>N</x:v>
      </x:c>
      <x:c r="G37" s="17" t="str">
        <x:v>N</x:v>
      </x:c>
      <x:c r="H37" s="26" t="n">
        <x:v>15</x:v>
      </x:c>
      <x:c r="I37" s="23" t="n">
        <x:v>105656</x:v>
      </x:c>
      <x:c r="J37" s="17" t="str">
        <x:v>SETTLED</x:v>
      </x:c>
    </x:row>
    <x:row r="38">
      <x:c r="A38" s="17" t="str">
        <x:v>APP2025000050</x:v>
      </x:c>
      <x:c r="B38" s="17" t="str">
        <x:v>Y</x:v>
      </x:c>
      <x:c r="C38" s="32" t="n">
        <x:v>45701.53194444445</x:v>
      </x:c>
      <x:c r="D38" s="23" t="n">
        <x:v>85000</x:v>
      </x:c>
      <x:c r="E38" s="32" t="n">
        <x:v>45731.53194444445</x:v>
      </x:c>
      <x:c r="F38" s="17" t="str">
        <x:v>N</x:v>
      </x:c>
      <x:c r="G38" s="17" t="str">
        <x:v>N</x:v>
      </x:c>
      <x:c r="H38" s="26" t="n">
        <x:v>9</x:v>
      </x:c>
      <x:c r="I38" s="23" t="n">
        <x:v>76972</x:v>
      </x:c>
      <x:c r="J38" s="17" t="str">
        <x:v>CURRENT</x:v>
      </x:c>
    </x:row>
    <x:row r="39">
      <x:c r="A39" s="17" t="str">
        <x:v>APP2025000051</x:v>
      </x:c>
      <x:c r="B39" s="17" t="str">
        <x:v>Y</x:v>
      </x:c>
      <x:c r="C39" s="32" t="n">
        <x:v>45838.506944444445</x:v>
      </x:c>
      <x:c r="D39" s="23" t="n">
        <x:v>124000</x:v>
      </x:c>
      <x:c r="E39" s="32" t="n">
        <x:v>45868.506944444445</x:v>
      </x:c>
      <x:c r="F39" s="17" t="str">
        <x:v>N</x:v>
      </x:c>
      <x:c r="G39" s="17" t="str">
        <x:v>N</x:v>
      </x:c>
      <x:c r="H39" s="26" t="n">
        <x:v>11</x:v>
      </x:c>
      <x:c r="I39" s="23" t="n">
        <x:v>122510</x:v>
      </x:c>
      <x:c r="J39" s="17" t="str">
        <x:v>SETTLED</x:v>
      </x:c>
    </x:row>
    <x:row r="40">
      <x:c r="A40" s="17" t="str">
        <x:v>APP2025000052</x:v>
      </x:c>
      <x:c r="B40" s="17" t="str">
        <x:v>Y</x:v>
      </x:c>
      <x:c r="C40" s="32" t="n">
        <x:v>45661.436111111114</x:v>
      </x:c>
      <x:c r="D40" s="23" t="n">
        <x:v>51000</x:v>
      </x:c>
      <x:c r="E40" s="32" t="n">
        <x:v>45691.436111111114</x:v>
      </x:c>
      <x:c r="F40" s="17" t="str">
        <x:v>N</x:v>
      </x:c>
      <x:c r="G40" s="17" t="str">
        <x:v>N</x:v>
      </x:c>
      <x:c r="H40" s="26" t="n">
        <x:v>7</x:v>
      </x:c>
      <x:c r="I40" s="23" t="n">
        <x:v>44482</x:v>
      </x:c>
      <x:c r="J40" s="17" t="str">
        <x:v>CURRENT</x:v>
      </x:c>
    </x:row>
    <x:row r="41">
      <x:c r="A41" s="17" t="str">
        <x:v>APP2025000053</x:v>
      </x:c>
      <x:c r="B41" s="17" t="str">
        <x:v>Y</x:v>
      </x:c>
      <x:c r="C41" s="32" t="n">
        <x:v>45751.76111111111</x:v>
      </x:c>
      <x:c r="D41" s="23" t="n">
        <x:v>59000</x:v>
      </x:c>
      <x:c r="E41" s="32" t="n">
        <x:v>45781.76111111111</x:v>
      </x:c>
      <x:c r="F41" s="17" t="str">
        <x:v>N</x:v>
      </x:c>
      <x:c r="G41" s="17" t="str">
        <x:v>N</x:v>
      </x:c>
      <x:c r="H41" s="26" t="n">
        <x:v>10</x:v>
      </x:c>
      <x:c r="I41" s="23" t="n">
        <x:v>57546</x:v>
      </x:c>
      <x:c r="J41" s="17" t="str">
        <x:v>SETTLED</x:v>
      </x:c>
    </x:row>
    <x:row r="42">
      <x:c r="A42" s="17" t="str">
        <x:v>APP2025000054</x:v>
      </x:c>
      <x:c r="B42" s="17" t="str">
        <x:v>Y</x:v>
      </x:c>
      <x:c r="C42" s="32" t="n">
        <x:v>45819.433333333334</x:v>
      </x:c>
      <x:c r="D42" s="23" t="n">
        <x:v>86000</x:v>
      </x:c>
      <x:c r="E42" s="32" t="n">
        <x:v>45849.433333333334</x:v>
      </x:c>
      <x:c r="F42" s="17" t="str">
        <x:v>N</x:v>
      </x:c>
      <x:c r="G42" s="17" t="str">
        <x:v>N</x:v>
      </x:c>
      <x:c r="H42" s="26" t="n">
        <x:v>6</x:v>
      </x:c>
      <x:c r="I42" s="23" t="n">
        <x:v>80613</x:v>
      </x:c>
      <x:c r="J42" s="17" t="str">
        <x:v>CURRENT</x:v>
      </x:c>
    </x:row>
    <x:row r="43">
      <x:c r="A43" s="17" t="str">
        <x:v>APP2025000059</x:v>
      </x:c>
      <x:c r="B43" s="17" t="str">
        <x:v>Y</x:v>
      </x:c>
      <x:c r="C43" s="32" t="n">
        <x:v>45836.447222222225</x:v>
      </x:c>
      <x:c r="D43" s="23" t="n">
        <x:v>64000</x:v>
      </x:c>
      <x:c r="E43" s="32" t="n">
        <x:v>45866.447222222225</x:v>
      </x:c>
      <x:c r="F43" s="17" t="str">
        <x:v>N</x:v>
      </x:c>
      <x:c r="G43" s="17" t="str">
        <x:v>N</x:v>
      </x:c>
      <x:c r="H43" s="26" t="n">
        <x:v>13</x:v>
      </x:c>
      <x:c r="I43" s="23" t="n">
        <x:v>50837</x:v>
      </x:c>
      <x:c r="J43" s="17" t="str">
        <x:v>SETTLED</x:v>
      </x:c>
    </x:row>
    <x:row r="44">
      <x:c r="A44" s="17" t="str">
        <x:v>APP2025000060</x:v>
      </x:c>
      <x:c r="B44" s="17" t="str">
        <x:v>Y</x:v>
      </x:c>
      <x:c r="C44" s="32" t="n">
        <x:v>45761.510416666664</x:v>
      </x:c>
      <x:c r="D44" s="23" t="n">
        <x:v>117000</x:v>
      </x:c>
      <x:c r="E44" s="32" t="n">
        <x:v>45791.510416666664</x:v>
      </x:c>
      <x:c r="F44" s="17" t="str">
        <x:v>N</x:v>
      </x:c>
      <x:c r="G44" s="17" t="str">
        <x:v>N</x:v>
      </x:c>
      <x:c r="H44" s="26" t="n">
        <x:v>13</x:v>
      </x:c>
      <x:c r="I44" s="23" t="n">
        <x:v>96846</x:v>
      </x:c>
      <x:c r="J44" s="17" t="str">
        <x:v>CURRENT</x:v>
      </x:c>
    </x:row>
    <x:row r="45">
      <x:c r="A45" s="17" t="str">
        <x:v>APP2025000062</x:v>
      </x:c>
      <x:c r="B45" s="17" t="str">
        <x:v>Y</x:v>
      </x:c>
      <x:c r="C45" s="32" t="n">
        <x:v>45714.467361111114</x:v>
      </x:c>
      <x:c r="D45" s="23" t="n">
        <x:v>143000</x:v>
      </x:c>
      <x:c r="E45" s="32" t="n">
        <x:v>45744.467361111114</x:v>
      </x:c>
      <x:c r="F45" s="17" t="str">
        <x:v>N</x:v>
      </x:c>
      <x:c r="G45" s="17" t="str">
        <x:v>N</x:v>
      </x:c>
      <x:c r="H45" s="26" t="n">
        <x:v>6</x:v>
      </x:c>
      <x:c r="I45" s="23" t="n">
        <x:v>135940</x:v>
      </x:c>
      <x:c r="J45" s="17" t="str">
        <x:v>CURRENT</x:v>
      </x:c>
    </x:row>
    <x:row r="46">
      <x:c r="A46" s="17" t="str">
        <x:v>APP2025000064</x:v>
      </x:c>
      <x:c r="B46" s="17" t="str">
        <x:v>Y</x:v>
      </x:c>
      <x:c r="C46" s="32" t="n">
        <x:v>45783.618055555555</x:v>
      </x:c>
      <x:c r="D46" s="23" t="n">
        <x:v>42000</x:v>
      </x:c>
      <x:c r="E46" s="32" t="n">
        <x:v>45813.618055555555</x:v>
      </x:c>
      <x:c r="F46" s="17" t="str">
        <x:v>N</x:v>
      </x:c>
      <x:c r="G46" s="17" t="str">
        <x:v>N</x:v>
      </x:c>
      <x:c r="H46" s="26" t="n">
        <x:v>12</x:v>
      </x:c>
      <x:c r="I46" s="23" t="n">
        <x:v>39648</x:v>
      </x:c>
      <x:c r="J46" s="17" t="str">
        <x:v>CURRENT</x:v>
      </x:c>
    </x:row>
    <x:row r="47">
      <x:c r="A47" s="17" t="str">
        <x:v>APP2025000065</x:v>
      </x:c>
      <x:c r="B47" s="17" t="str">
        <x:v>Y</x:v>
      </x:c>
      <x:c r="C47" s="32" t="n">
        <x:v>45722.5875</x:v>
      </x:c>
      <x:c r="D47" s="23" t="n">
        <x:v>115000</x:v>
      </x:c>
      <x:c r="E47" s="32" t="n">
        <x:v>45752.5875</x:v>
      </x:c>
      <x:c r="F47" s="17" t="str">
        <x:v>N</x:v>
      </x:c>
      <x:c r="G47" s="17" t="str">
        <x:v>N</x:v>
      </x:c>
      <x:c r="H47" s="26" t="n">
        <x:v>10</x:v>
      </x:c>
      <x:c r="I47" s="23" t="n">
        <x:v>110836</x:v>
      </x:c>
      <x:c r="J47" s="17" t="str">
        <x:v>SETTLED</x:v>
      </x:c>
    </x:row>
    <x:row r="48">
      <x:c r="A48" s="17" t="str">
        <x:v>APP2025000066</x:v>
      </x:c>
      <x:c r="B48" s="17" t="str">
        <x:v>Y</x:v>
      </x:c>
      <x:c r="C48" s="32" t="n">
        <x:v>45807.52361111111</x:v>
      </x:c>
      <x:c r="D48" s="23" t="n">
        <x:v>12000</x:v>
      </x:c>
      <x:c r="E48" s="32" t="n">
        <x:v>45837.52361111111</x:v>
      </x:c>
      <x:c r="F48" s="17" t="str">
        <x:v>Y</x:v>
      </x:c>
      <x:c r="G48" s="17" t="str">
        <x:v>N</x:v>
      </x:c>
      <x:c r="H48" s="26" t="n">
        <x:v>15</x:v>
      </x:c>
      <x:c r="I48" s="23" t="n">
        <x:v>7170</x:v>
      </x:c>
      <x:c r="J48" s="17" t="str">
        <x:v>OVERDUE_30</x:v>
      </x:c>
    </x:row>
    <x:row r="49">
      <x:c r="A49" s="17" t="str">
        <x:v>APP2025000068</x:v>
      </x:c>
      <x:c r="B49" s="17" t="str">
        <x:v>Y</x:v>
      </x:c>
      <x:c r="C49" s="32" t="n">
        <x:v>45738.79722222222</x:v>
      </x:c>
      <x:c r="D49" s="23" t="n">
        <x:v>47000</x:v>
      </x:c>
      <x:c r="E49" s="32" t="n">
        <x:v>45768.79722222222</x:v>
      </x:c>
      <x:c r="F49" s="17" t="str">
        <x:v>N</x:v>
      </x:c>
      <x:c r="G49" s="17" t="str">
        <x:v>N</x:v>
      </x:c>
      <x:c r="H49" s="26" t="n">
        <x:v>7</x:v>
      </x:c>
      <x:c r="I49" s="23" t="n">
        <x:v>42588</x:v>
      </x:c>
      <x:c r="J49" s="17" t="str">
        <x:v>CURRENT</x:v>
      </x:c>
    </x:row>
    <x:row r="50">
      <x:c r="A50" s="17" t="str">
        <x:v>APP2025000070</x:v>
      </x:c>
      <x:c r="B50" s="17" t="str">
        <x:v>Y</x:v>
      </x:c>
      <x:c r="C50" s="32" t="n">
        <x:v>45676.635416666664</x:v>
      </x:c>
      <x:c r="D50" s="23" t="n">
        <x:v>91000</x:v>
      </x:c>
      <x:c r="E50" s="32" t="n">
        <x:v>45706.635416666664</x:v>
      </x:c>
      <x:c r="F50" s="17" t="str">
        <x:v>N</x:v>
      </x:c>
      <x:c r="G50" s="17" t="str">
        <x:v>N</x:v>
      </x:c>
      <x:c r="H50" s="26" t="n">
        <x:v>9</x:v>
      </x:c>
      <x:c r="I50" s="23" t="n">
        <x:v>90458</x:v>
      </x:c>
      <x:c r="J50" s="17" t="str">
        <x:v>SETTLED</x:v>
      </x:c>
    </x:row>
    <x:row r="51">
      <x:c r="A51" s="17" t="str">
        <x:v>APP2025000071</x:v>
      </x:c>
      <x:c r="B51" s="17" t="str">
        <x:v>Y</x:v>
      </x:c>
      <x:c r="C51" s="32" t="n">
        <x:v>45810.69652777778</x:v>
      </x:c>
      <x:c r="D51" s="23" t="n">
        <x:v>40000</x:v>
      </x:c>
      <x:c r="E51" s="32" t="n">
        <x:v>45840.69652777778</x:v>
      </x:c>
      <x:c r="F51" s="17" t="str">
        <x:v>N</x:v>
      </x:c>
      <x:c r="G51" s="17" t="str">
        <x:v>N</x:v>
      </x:c>
      <x:c r="H51" s="26" t="n">
        <x:v>11</x:v>
      </x:c>
      <x:c r="I51" s="23" t="n">
        <x:v>37043</x:v>
      </x:c>
      <x:c r="J51" s="17" t="str">
        <x:v>CURRENT</x:v>
      </x:c>
    </x:row>
    <x:row r="52">
      <x:c r="A52" s="17" t="str">
        <x:v>APP2025000073</x:v>
      </x:c>
      <x:c r="B52" s="17" t="str">
        <x:v>Y</x:v>
      </x:c>
      <x:c r="C52" s="32" t="n">
        <x:v>45671.356944444444</x:v>
      </x:c>
      <x:c r="D52" s="23" t="n">
        <x:v>118000</x:v>
      </x:c>
      <x:c r="E52" s="32" t="n">
        <x:v>45701.356944444444</x:v>
      </x:c>
      <x:c r="F52" s="17" t="str">
        <x:v>Y</x:v>
      </x:c>
      <x:c r="G52" s="17" t="str">
        <x:v>Y</x:v>
      </x:c>
      <x:c r="H52" s="26" t="n">
        <x:v>11</x:v>
      </x:c>
      <x:c r="I52" s="23" t="n">
        <x:v>38522</x:v>
      </x:c>
      <x:c r="J52" s="17" t="str">
        <x:v>OVERDUE_90</x:v>
      </x:c>
    </x:row>
    <x:row r="53">
      <x:c r="A53" s="17" t="str">
        <x:v>APP2025000074</x:v>
      </x:c>
      <x:c r="B53" s="17" t="str">
        <x:v>Y</x:v>
      </x:c>
      <x:c r="C53" s="32" t="n">
        <x:v>45724.697222222225</x:v>
      </x:c>
      <x:c r="D53" s="23" t="n">
        <x:v>14000</x:v>
      </x:c>
      <x:c r="E53" s="32" t="n">
        <x:v>45754.697222222225</x:v>
      </x:c>
      <x:c r="F53" s="17" t="str">
        <x:v>N</x:v>
      </x:c>
      <x:c r="G53" s="17" t="str">
        <x:v>N</x:v>
      </x:c>
      <x:c r="H53" s="26" t="n">
        <x:v>8</x:v>
      </x:c>
      <x:c r="I53" s="23" t="n">
        <x:v>10691</x:v>
      </x:c>
      <x:c r="J53" s="17" t="str">
        <x:v>SETTLED</x:v>
      </x:c>
    </x:row>
    <x:row r="54">
      <x:c r="A54" s="17" t="str">
        <x:v>APP2025000075</x:v>
      </x:c>
      <x:c r="B54" s="17" t="str">
        <x:v>Y</x:v>
      </x:c>
      <x:c r="C54" s="32" t="n">
        <x:v>45665.592361111114</x:v>
      </x:c>
      <x:c r="D54" s="23" t="n">
        <x:v>52000</x:v>
      </x:c>
      <x:c r="E54" s="32" t="n">
        <x:v>45695.592361111114</x:v>
      </x:c>
      <x:c r="F54" s="17" t="str">
        <x:v>N</x:v>
      </x:c>
      <x:c r="G54" s="17" t="str">
        <x:v>N</x:v>
      </x:c>
      <x:c r="H54" s="26" t="n">
        <x:v>6</x:v>
      </x:c>
      <x:c r="I54" s="23" t="n">
        <x:v>41129</x:v>
      </x:c>
      <x:c r="J54" s="17" t="str">
        <x:v>CURRENT</x:v>
      </x:c>
    </x:row>
    <x:row r="55">
      <x:c r="A55" s="17" t="str">
        <x:v>APP2025000076</x:v>
      </x:c>
      <x:c r="B55" s="17" t="str">
        <x:v>Y</x:v>
      </x:c>
      <x:c r="C55" s="32" t="n">
        <x:v>45768.72222222222</x:v>
      </x:c>
      <x:c r="D55" s="23" t="n">
        <x:v>29000</x:v>
      </x:c>
      <x:c r="E55" s="32" t="n">
        <x:v>45798.72222222222</x:v>
      </x:c>
      <x:c r="F55" s="17" t="str">
        <x:v>Y</x:v>
      </x:c>
      <x:c r="G55" s="17" t="str">
        <x:v>N</x:v>
      </x:c>
      <x:c r="H55" s="26" t="n">
        <x:v>6</x:v>
      </x:c>
      <x:c r="I55" s="23" t="n">
        <x:v>18874</x:v>
      </x:c>
      <x:c r="J55" s="17" t="str">
        <x:v>OVERDUE_30</x:v>
      </x:c>
    </x:row>
    <x:row r="56">
      <x:c r="A56" s="17" t="str">
        <x:v>APP2025000078</x:v>
      </x:c>
      <x:c r="B56" s="17" t="str">
        <x:v>Y</x:v>
      </x:c>
      <x:c r="C56" s="32" t="n">
        <x:v>45706.49375</x:v>
      </x:c>
      <x:c r="D56" s="23" t="n">
        <x:v>31000</x:v>
      </x:c>
      <x:c r="E56" s="32" t="n">
        <x:v>45736.49375</x:v>
      </x:c>
      <x:c r="F56" s="17" t="str">
        <x:v>N</x:v>
      </x:c>
      <x:c r="G56" s="17" t="str">
        <x:v>N</x:v>
      </x:c>
      <x:c r="H56" s="26" t="n">
        <x:v>9</x:v>
      </x:c>
      <x:c r="I56" s="23" t="n">
        <x:v>27610</x:v>
      </x:c>
      <x:c r="J56" s="17" t="str">
        <x:v>CURRENT</x:v>
      </x:c>
    </x:row>
    <x:row r="57">
      <x:c r="A57" s="17" t="str">
        <x:v>APP2025000082</x:v>
      </x:c>
      <x:c r="B57" s="17" t="str">
        <x:v>Y</x:v>
      </x:c>
      <x:c r="C57" s="32" t="n">
        <x:v>45790.544444444444</x:v>
      </x:c>
      <x:c r="D57" s="23" t="n">
        <x:v>67000</x:v>
      </x:c>
      <x:c r="E57" s="32" t="n">
        <x:v>45820.544444444444</x:v>
      </x:c>
      <x:c r="F57" s="17" t="str">
        <x:v>N</x:v>
      </x:c>
      <x:c r="G57" s="17" t="str">
        <x:v>N</x:v>
      </x:c>
      <x:c r="H57" s="26" t="n">
        <x:v>11</x:v>
      </x:c>
      <x:c r="I57" s="23" t="n">
        <x:v>57306</x:v>
      </x:c>
      <x:c r="J57" s="17" t="str">
        <x:v>CURRENT</x:v>
      </x:c>
    </x:row>
    <x:row r="58">
      <x:c r="A58" s="17" t="str">
        <x:v>APP2025000083</x:v>
      </x:c>
      <x:c r="B58" s="17" t="str">
        <x:v>Y</x:v>
      </x:c>
      <x:c r="C58" s="32" t="n">
        <x:v>45743.50347222222</x:v>
      </x:c>
      <x:c r="D58" s="23" t="n">
        <x:v>49000</x:v>
      </x:c>
      <x:c r="E58" s="32" t="n">
        <x:v>45773.50347222222</x:v>
      </x:c>
      <x:c r="F58" s="17" t="str">
        <x:v>N</x:v>
      </x:c>
      <x:c r="G58" s="17" t="str">
        <x:v>N</x:v>
      </x:c>
      <x:c r="H58" s="26" t="n">
        <x:v>7</x:v>
      </x:c>
      <x:c r="I58" s="23" t="n">
        <x:v>39640</x:v>
      </x:c>
      <x:c r="J58" s="17" t="str">
        <x:v>CURRENT</x:v>
      </x:c>
    </x:row>
    <x:row r="59">
      <x:c r="A59" s="17" t="str">
        <x:v>APP2025000084</x:v>
      </x:c>
      <x:c r="B59" s="17" t="str">
        <x:v>Y</x:v>
      </x:c>
      <x:c r="C59" s="32" t="n">
        <x:v>45780.59027777778</x:v>
      </x:c>
      <x:c r="D59" s="23" t="n">
        <x:v>61000</x:v>
      </x:c>
      <x:c r="E59" s="32" t="n">
        <x:v>45810.59027777778</x:v>
      </x:c>
      <x:c r="F59" s="17" t="str">
        <x:v>N</x:v>
      </x:c>
      <x:c r="G59" s="17" t="str">
        <x:v>N</x:v>
      </x:c>
      <x:c r="H59" s="26" t="n">
        <x:v>7</x:v>
      </x:c>
      <x:c r="I59" s="23" t="n">
        <x:v>56603</x:v>
      </x:c>
      <x:c r="J59" s="17" t="str">
        <x:v>CURRENT</x:v>
      </x:c>
    </x:row>
    <x:row r="60">
      <x:c r="A60" s="17" t="str">
        <x:v>APP2025000086</x:v>
      </x:c>
      <x:c r="B60" s="17" t="str">
        <x:v>Y</x:v>
      </x:c>
      <x:c r="C60" s="32" t="n">
        <x:v>45677.61597222222</x:v>
      </x:c>
      <x:c r="D60" s="23" t="n">
        <x:v>96000</x:v>
      </x:c>
      <x:c r="E60" s="32" t="n">
        <x:v>45707.61597222222</x:v>
      </x:c>
      <x:c r="F60" s="17" t="str">
        <x:v>N</x:v>
      </x:c>
      <x:c r="G60" s="17" t="str">
        <x:v>N</x:v>
      </x:c>
      <x:c r="H60" s="26" t="n">
        <x:v>6</x:v>
      </x:c>
      <x:c r="I60" s="23" t="n">
        <x:v>94667</x:v>
      </x:c>
      <x:c r="J60" s="17" t="str">
        <x:v>SETTLED</x:v>
      </x:c>
    </x:row>
    <x:row r="61">
      <x:c r="A61" s="17" t="str">
        <x:v>APP2025000087</x:v>
      </x:c>
      <x:c r="B61" s="17" t="str">
        <x:v>Y</x:v>
      </x:c>
      <x:c r="C61" s="32" t="n">
        <x:v>45754.42013888889</x:v>
      </x:c>
      <x:c r="D61" s="23" t="n">
        <x:v>105000</x:v>
      </x:c>
      <x:c r="E61" s="32" t="n">
        <x:v>45784.42013888889</x:v>
      </x:c>
      <x:c r="F61" s="17" t="str">
        <x:v>N</x:v>
      </x:c>
      <x:c r="G61" s="17" t="str">
        <x:v>N</x:v>
      </x:c>
      <x:c r="H61" s="26" t="n">
        <x:v>8</x:v>
      </x:c>
      <x:c r="I61" s="23" t="n">
        <x:v>103320</x:v>
      </x:c>
      <x:c r="J61" s="17" t="str">
        <x:v>CURRENT</x:v>
      </x:c>
    </x:row>
    <x:row r="62">
      <x:c r="A62" s="17" t="str">
        <x:v>APP2025000089</x:v>
      </x:c>
      <x:c r="B62" s="17" t="str">
        <x:v>Y</x:v>
      </x:c>
      <x:c r="C62" s="32" t="n">
        <x:v>45799.46805555555</x:v>
      </x:c>
      <x:c r="D62" s="23" t="n">
        <x:v>125000</x:v>
      </x:c>
      <x:c r="E62" s="32" t="n">
        <x:v>45829.46805555555</x:v>
      </x:c>
      <x:c r="F62" s="17" t="str">
        <x:v>N</x:v>
      </x:c>
      <x:c r="G62" s="17" t="str">
        <x:v>N</x:v>
      </x:c>
      <x:c r="H62" s="26" t="n">
        <x:v>6</x:v>
      </x:c>
      <x:c r="I62" s="23" t="n">
        <x:v>100431</x:v>
      </x:c>
      <x:c r="J62" s="17" t="str">
        <x:v>SETTLED</x:v>
      </x:c>
    </x:row>
    <x:row r="63">
      <x:c r="A63" s="17" t="str">
        <x:v>APP2025000091</x:v>
      </x:c>
      <x:c r="B63" s="17" t="str">
        <x:v>Y</x:v>
      </x:c>
      <x:c r="C63" s="32" t="n">
        <x:v>45795.589583333334</x:v>
      </x:c>
      <x:c r="D63" s="23" t="n">
        <x:v>10000</x:v>
      </x:c>
      <x:c r="E63" s="32" t="n">
        <x:v>45825.589583333334</x:v>
      </x:c>
      <x:c r="F63" s="17" t="str">
        <x:v>N</x:v>
      </x:c>
      <x:c r="G63" s="17" t="str">
        <x:v>N</x:v>
      </x:c>
      <x:c r="H63" s="26" t="n">
        <x:v>14</x:v>
      </x:c>
      <x:c r="I63" s="23" t="n">
        <x:v>9320</x:v>
      </x:c>
      <x:c r="J63" s="17" t="str">
        <x:v>SETTLED</x:v>
      </x:c>
    </x:row>
    <x:row r="64">
      <x:c r="A64" s="17" t="str">
        <x:v>APP2025000092</x:v>
      </x:c>
      <x:c r="B64" s="17" t="str">
        <x:v>Y</x:v>
      </x:c>
      <x:c r="C64" s="32" t="n">
        <x:v>45798.535416666666</x:v>
      </x:c>
      <x:c r="D64" s="23" t="n">
        <x:v>45000</x:v>
      </x:c>
      <x:c r="E64" s="32" t="n">
        <x:v>45828.535416666666</x:v>
      </x:c>
      <x:c r="F64" s="17" t="str">
        <x:v>N</x:v>
      </x:c>
      <x:c r="G64" s="17" t="str">
        <x:v>N</x:v>
      </x:c>
      <x:c r="H64" s="26" t="n">
        <x:v>11</x:v>
      </x:c>
      <x:c r="I64" s="23" t="n">
        <x:v>41337</x:v>
      </x:c>
      <x:c r="J64" s="17" t="str">
        <x:v>SETTLED</x:v>
      </x:c>
    </x:row>
    <x:row r="65">
      <x:c r="A65" s="17" t="str">
        <x:v>APP2025000093</x:v>
      </x:c>
      <x:c r="B65" s="17" t="str">
        <x:v>Y</x:v>
      </x:c>
      <x:c r="C65" s="32" t="n">
        <x:v>45715.479166666664</x:v>
      </x:c>
      <x:c r="D65" s="23" t="n">
        <x:v>123000</x:v>
      </x:c>
      <x:c r="E65" s="32" t="n">
        <x:v>45745.479166666664</x:v>
      </x:c>
      <x:c r="F65" s="17" t="str">
        <x:v>N</x:v>
      </x:c>
      <x:c r="G65" s="17" t="str">
        <x:v>N</x:v>
      </x:c>
      <x:c r="H65" s="26" t="n">
        <x:v>6</x:v>
      </x:c>
      <x:c r="I65" s="23" t="n">
        <x:v>103492</x:v>
      </x:c>
      <x:c r="J65" s="17" t="str">
        <x:v>CURRENT</x:v>
      </x:c>
    </x:row>
    <x:row r="66">
      <x:c r="A66" s="17" t="str">
        <x:v>APP2025000094</x:v>
      </x:c>
      <x:c r="B66" s="17" t="str">
        <x:v>Y</x:v>
      </x:c>
      <x:c r="C66" s="32" t="n">
        <x:v>45736.40347222222</x:v>
      </x:c>
      <x:c r="D66" s="23" t="n">
        <x:v>143000</x:v>
      </x:c>
      <x:c r="E66" s="32" t="n">
        <x:v>45766.40347222222</x:v>
      </x:c>
      <x:c r="F66" s="17" t="str">
        <x:v>N</x:v>
      </x:c>
      <x:c r="G66" s="17" t="str">
        <x:v>N</x:v>
      </x:c>
      <x:c r="H66" s="26" t="n">
        <x:v>10</x:v>
      </x:c>
      <x:c r="I66" s="23" t="n">
        <x:v>108946</x:v>
      </x:c>
      <x:c r="J66" s="17" t="str">
        <x:v>CURRENT</x:v>
      </x:c>
    </x:row>
    <x:row r="67">
      <x:c r="A67" s="17" t="str">
        <x:v>APP2025000095</x:v>
      </x:c>
      <x:c r="B67" s="17" t="str">
        <x:v>Y</x:v>
      </x:c>
      <x:c r="C67" s="32" t="n">
        <x:v>45664.69513888889</x:v>
      </x:c>
      <x:c r="D67" s="23" t="n">
        <x:v>8000</x:v>
      </x:c>
      <x:c r="E67" s="32" t="n">
        <x:v>45694.69513888889</x:v>
      </x:c>
      <x:c r="F67" s="17" t="str">
        <x:v>N</x:v>
      </x:c>
      <x:c r="G67" s="17" t="str">
        <x:v>N</x:v>
      </x:c>
      <x:c r="H67" s="26" t="n">
        <x:v>6</x:v>
      </x:c>
      <x:c r="I67" s="23" t="n">
        <x:v>7419</x:v>
      </x:c>
      <x:c r="J67" s="17" t="str">
        <x:v>CURRENT</x:v>
      </x:c>
    </x:row>
    <x:row r="68">
      <x:c r="A68" s="17" t="str">
        <x:v>APP2025000096</x:v>
      </x:c>
      <x:c r="B68" s="17" t="str">
        <x:v>Y</x:v>
      </x:c>
      <x:c r="C68" s="32" t="n">
        <x:v>45829.50208333333</x:v>
      </x:c>
      <x:c r="D68" s="23" t="n">
        <x:v>68000</x:v>
      </x:c>
      <x:c r="E68" s="32" t="n">
        <x:v>45859.50208333333</x:v>
      </x:c>
      <x:c r="F68" s="17" t="str">
        <x:v>N</x:v>
      </x:c>
      <x:c r="G68" s="17" t="str">
        <x:v>N</x:v>
      </x:c>
      <x:c r="H68" s="26" t="n">
        <x:v>8</x:v>
      </x:c>
      <x:c r="I68" s="23" t="n">
        <x:v>52619</x:v>
      </x:c>
      <x:c r="J68" s="17" t="str">
        <x:v>CURRENT</x:v>
      </x:c>
    </x:row>
    <x:row r="69">
      <x:c r="A69" s="17" t="str">
        <x:v>APP2025000099</x:v>
      </x:c>
      <x:c r="B69" s="17" t="str">
        <x:v>Y</x:v>
      </x:c>
      <x:c r="C69" s="32" t="n">
        <x:v>45794.56736111111</x:v>
      </x:c>
      <x:c r="D69" s="23" t="n">
        <x:v>55000</x:v>
      </x:c>
      <x:c r="E69" s="32" t="n">
        <x:v>45824.56736111111</x:v>
      </x:c>
      <x:c r="F69" s="17" t="str">
        <x:v>N</x:v>
      </x:c>
      <x:c r="G69" s="17" t="str">
        <x:v>N</x:v>
      </x:c>
      <x:c r="H69" s="26" t="n">
        <x:v>9</x:v>
      </x:c>
      <x:c r="I69" s="23" t="n">
        <x:v>45179</x:v>
      </x:c>
      <x:c r="J69" s="17" t="str">
        <x:v>CURRENT</x:v>
      </x:c>
    </x:row>
    <x:row r="70">
      <x:c r="A70" s="17" t="str">
        <x:v>APP2025000101</x:v>
      </x:c>
      <x:c r="B70" s="17" t="str">
        <x:v>Y</x:v>
      </x:c>
      <x:c r="C70" s="32" t="n">
        <x:v>45831.589583333334</x:v>
      </x:c>
      <x:c r="D70" s="23" t="n">
        <x:v>47000</x:v>
      </x:c>
      <x:c r="E70" s="32" t="n">
        <x:v>45861.589583333334</x:v>
      </x:c>
      <x:c r="F70" s="17" t="str">
        <x:v>N</x:v>
      </x:c>
      <x:c r="G70" s="17" t="str">
        <x:v>N</x:v>
      </x:c>
      <x:c r="H70" s="26" t="n">
        <x:v>9</x:v>
      </x:c>
      <x:c r="I70" s="23" t="n">
        <x:v>41391</x:v>
      </x:c>
      <x:c r="J70" s="17" t="str">
        <x:v>CURRENT</x:v>
      </x:c>
    </x:row>
    <x:row r="71">
      <x:c r="A71" s="17" t="str">
        <x:v>APP2025000102</x:v>
      </x:c>
      <x:c r="B71" s="17" t="str">
        <x:v>Y</x:v>
      </x:c>
      <x:c r="C71" s="32" t="n">
        <x:v>45779.54791666667</x:v>
      </x:c>
      <x:c r="D71" s="23" t="n">
        <x:v>11000</x:v>
      </x:c>
      <x:c r="E71" s="32" t="n">
        <x:v>45809.54791666667</x:v>
      </x:c>
      <x:c r="F71" s="17" t="str">
        <x:v>N</x:v>
      </x:c>
      <x:c r="G71" s="17" t="str">
        <x:v>N</x:v>
      </x:c>
      <x:c r="H71" s="26" t="n">
        <x:v>11</x:v>
      </x:c>
      <x:c r="I71" s="23" t="n">
        <x:v>9519</x:v>
      </x:c>
      <x:c r="J71" s="17" t="str">
        <x:v>CURRENT</x:v>
      </x:c>
    </x:row>
    <x:row r="72">
      <x:c r="A72" s="17" t="str">
        <x:v>APP2025000103</x:v>
      </x:c>
      <x:c r="B72" s="17" t="str">
        <x:v>Y</x:v>
      </x:c>
      <x:c r="C72" s="32" t="n">
        <x:v>45734.67222222222</x:v>
      </x:c>
      <x:c r="D72" s="23" t="n">
        <x:v>90000</x:v>
      </x:c>
      <x:c r="E72" s="32" t="n">
        <x:v>45764.67222222222</x:v>
      </x:c>
      <x:c r="F72" s="17" t="str">
        <x:v>N</x:v>
      </x:c>
      <x:c r="G72" s="17" t="str">
        <x:v>N</x:v>
      </x:c>
      <x:c r="H72" s="26" t="n">
        <x:v>13</x:v>
      </x:c>
      <x:c r="I72" s="23" t="n">
        <x:v>84988</x:v>
      </x:c>
      <x:c r="J72" s="17" t="str">
        <x:v>SETTLED</x:v>
      </x:c>
    </x:row>
    <x:row r="73">
      <x:c r="A73" s="17" t="str">
        <x:v>APP2025000104</x:v>
      </x:c>
      <x:c r="B73" s="17" t="str">
        <x:v>Y</x:v>
      </x:c>
      <x:c r="C73" s="32" t="n">
        <x:v>45839.66875</x:v>
      </x:c>
      <x:c r="D73" s="23" t="n">
        <x:v>61000</x:v>
      </x:c>
      <x:c r="E73" s="32" t="n">
        <x:v>45869.66875</x:v>
      </x:c>
      <x:c r="F73" s="17" t="str">
        <x:v>N</x:v>
      </x:c>
      <x:c r="G73" s="17" t="str">
        <x:v>N</x:v>
      </x:c>
      <x:c r="H73" s="26" t="n">
        <x:v>9</x:v>
      </x:c>
      <x:c r="I73" s="23" t="n">
        <x:v>59447</x:v>
      </x:c>
      <x:c r="J73" s="17" t="str">
        <x:v>CURRENT</x:v>
      </x:c>
    </x:row>
    <x:row r="74">
      <x:c r="A74" s="17" t="str">
        <x:v>APP2025000105</x:v>
      </x:c>
      <x:c r="B74" s="17" t="str">
        <x:v>Y</x:v>
      </x:c>
      <x:c r="C74" s="32" t="n">
        <x:v>45684.413194444445</x:v>
      </x:c>
      <x:c r="D74" s="23" t="n">
        <x:v>45000</x:v>
      </x:c>
      <x:c r="E74" s="32" t="n">
        <x:v>45714.413194444445</x:v>
      </x:c>
      <x:c r="F74" s="17" t="str">
        <x:v>N</x:v>
      </x:c>
      <x:c r="G74" s="17" t="str">
        <x:v>N</x:v>
      </x:c>
      <x:c r="H74" s="26" t="n">
        <x:v>15</x:v>
      </x:c>
      <x:c r="I74" s="23" t="n">
        <x:v>35162</x:v>
      </x:c>
      <x:c r="J74" s="17" t="str">
        <x:v>SETTLED</x:v>
      </x:c>
    </x:row>
    <x:row r="75">
      <x:c r="A75" s="17" t="str">
        <x:v>APP2025000107</x:v>
      </x:c>
      <x:c r="B75" s="17" t="str">
        <x:v>Y</x:v>
      </x:c>
      <x:c r="C75" s="32" t="n">
        <x:v>45786.40833333333</x:v>
      </x:c>
      <x:c r="D75" s="23" t="n">
        <x:v>106000</x:v>
      </x:c>
      <x:c r="E75" s="32" t="n">
        <x:v>45816.40833333333</x:v>
      </x:c>
      <x:c r="F75" s="17" t="str">
        <x:v>N</x:v>
      </x:c>
      <x:c r="G75" s="17" t="str">
        <x:v>N</x:v>
      </x:c>
      <x:c r="H75" s="26" t="n">
        <x:v>7</x:v>
      </x:c>
      <x:c r="I75" s="23" t="n">
        <x:v>100464</x:v>
      </x:c>
      <x:c r="J75" s="17" t="str">
        <x:v>CURRENT</x:v>
      </x:c>
    </x:row>
    <x:row r="76">
      <x:c r="A76" s="17" t="str">
        <x:v>APP2025000108</x:v>
      </x:c>
      <x:c r="B76" s="17" t="str">
        <x:v>Y</x:v>
      </x:c>
      <x:c r="C76" s="32" t="n">
        <x:v>45743.4625</x:v>
      </x:c>
      <x:c r="D76" s="23" t="n">
        <x:v>124000</x:v>
      </x:c>
      <x:c r="E76" s="32" t="n">
        <x:v>45773.4625</x:v>
      </x:c>
      <x:c r="F76" s="17" t="str">
        <x:v>N</x:v>
      </x:c>
      <x:c r="G76" s="17" t="str">
        <x:v>N</x:v>
      </x:c>
      <x:c r="H76" s="26" t="n">
        <x:v>14</x:v>
      </x:c>
      <x:c r="I76" s="23" t="n">
        <x:v>111086</x:v>
      </x:c>
      <x:c r="J76" s="17" t="str">
        <x:v>CURRENT</x:v>
      </x:c>
    </x:row>
    <x:row r="77">
      <x:c r="A77" s="17" t="str">
        <x:v>APP2025000109</x:v>
      </x:c>
      <x:c r="B77" s="17" t="str">
        <x:v>Y</x:v>
      </x:c>
      <x:c r="C77" s="32" t="n">
        <x:v>45741.665972222225</x:v>
      </x:c>
      <x:c r="D77" s="23" t="n">
        <x:v>75000</x:v>
      </x:c>
      <x:c r="E77" s="32" t="n">
        <x:v>45771.665972222225</x:v>
      </x:c>
      <x:c r="F77" s="17" t="str">
        <x:v>N</x:v>
      </x:c>
      <x:c r="G77" s="17" t="str">
        <x:v>N</x:v>
      </x:c>
      <x:c r="H77" s="26" t="n">
        <x:v>6</x:v>
      </x:c>
      <x:c r="I77" s="23" t="n">
        <x:v>62738</x:v>
      </x:c>
      <x:c r="J77" s="17" t="str">
        <x:v>CURRENT</x:v>
      </x:c>
    </x:row>
    <x:row r="78">
      <x:c r="A78" s="17" t="str">
        <x:v>APP2025000110</x:v>
      </x:c>
      <x:c r="B78" s="17" t="str">
        <x:v>Y</x:v>
      </x:c>
      <x:c r="C78" s="32" t="n">
        <x:v>45682.743055555555</x:v>
      </x:c>
      <x:c r="D78" s="23" t="n">
        <x:v>64000</x:v>
      </x:c>
      <x:c r="E78" s="32" t="n">
        <x:v>45712.743055555555</x:v>
      </x:c>
      <x:c r="F78" s="17" t="str">
        <x:v>N</x:v>
      </x:c>
      <x:c r="G78" s="17" t="str">
        <x:v>N</x:v>
      </x:c>
      <x:c r="H78" s="26" t="n">
        <x:v>10</x:v>
      </x:c>
      <x:c r="I78" s="23" t="n">
        <x:v>51626</x:v>
      </x:c>
      <x:c r="J78" s="17" t="str">
        <x:v>CURRENT</x:v>
      </x:c>
    </x:row>
    <x:row r="79">
      <x:c r="A79" s="17" t="str">
        <x:v>APP2025000111</x:v>
      </x:c>
      <x:c r="B79" s="17" t="str">
        <x:v>Y</x:v>
      </x:c>
      <x:c r="C79" s="32" t="n">
        <x:v>45748.36319444444</x:v>
      </x:c>
      <x:c r="D79" s="23" t="n">
        <x:v>56000</x:v>
      </x:c>
      <x:c r="E79" s="32" t="n">
        <x:v>45778.36319444444</x:v>
      </x:c>
      <x:c r="F79" s="17" t="str">
        <x:v>N</x:v>
      </x:c>
      <x:c r="G79" s="17" t="str">
        <x:v>N</x:v>
      </x:c>
      <x:c r="H79" s="26" t="n">
        <x:v>6</x:v>
      </x:c>
      <x:c r="I79" s="23" t="n">
        <x:v>42096</x:v>
      </x:c>
      <x:c r="J79" s="17" t="str">
        <x:v>CURRENT</x:v>
      </x:c>
    </x:row>
    <x:row r="80">
      <x:c r="A80" s="17" t="str">
        <x:v>APP2025000113</x:v>
      </x:c>
      <x:c r="B80" s="17" t="str">
        <x:v>Y</x:v>
      </x:c>
      <x:c r="C80" s="32" t="n">
        <x:v>45671.705555555556</x:v>
      </x:c>
      <x:c r="D80" s="23" t="n">
        <x:v>120000</x:v>
      </x:c>
      <x:c r="E80" s="32" t="n">
        <x:v>45701.705555555556</x:v>
      </x:c>
      <x:c r="F80" s="17" t="str">
        <x:v>N</x:v>
      </x:c>
      <x:c r="G80" s="17" t="str">
        <x:v>N</x:v>
      </x:c>
      <x:c r="H80" s="26" t="n">
        <x:v>6</x:v>
      </x:c>
      <x:c r="I80" s="23" t="n">
        <x:v>95622</x:v>
      </x:c>
      <x:c r="J80" s="17" t="str">
        <x:v>CURRENT</x:v>
      </x:c>
    </x:row>
    <x:row r="81">
      <x:c r="A81" s="17" t="str">
        <x:v>APP2025000115</x:v>
      </x:c>
      <x:c r="B81" s="17" t="str">
        <x:v>Y</x:v>
      </x:c>
      <x:c r="C81" s="32" t="n">
        <x:v>45750.43263888889</x:v>
      </x:c>
      <x:c r="D81" s="23" t="n">
        <x:v>31000</x:v>
      </x:c>
      <x:c r="E81" s="32" t="n">
        <x:v>45780.43263888889</x:v>
      </x:c>
      <x:c r="F81" s="17" t="str">
        <x:v>N</x:v>
      </x:c>
      <x:c r="G81" s="17" t="str">
        <x:v>N</x:v>
      </x:c>
      <x:c r="H81" s="26" t="n">
        <x:v>11</x:v>
      </x:c>
      <x:c r="I81" s="23" t="n">
        <x:v>28833</x:v>
      </x:c>
      <x:c r="J81" s="17" t="str">
        <x:v>CURRENT</x:v>
      </x:c>
    </x:row>
    <x:row r="82">
      <x:c r="A82" s="17" t="str">
        <x:v>APP2025000117</x:v>
      </x:c>
      <x:c r="B82" s="17" t="str">
        <x:v>Y</x:v>
      </x:c>
      <x:c r="C82" s="32" t="n">
        <x:v>45719.74652777778</x:v>
      </x:c>
      <x:c r="D82" s="23" t="n">
        <x:v>81000</x:v>
      </x:c>
      <x:c r="E82" s="32" t="n">
        <x:v>45749.74652777778</x:v>
      </x:c>
      <x:c r="F82" s="17" t="str">
        <x:v>N</x:v>
      </x:c>
      <x:c r="G82" s="17" t="str">
        <x:v>N</x:v>
      </x:c>
      <x:c r="H82" s="26" t="n">
        <x:v>13</x:v>
      </x:c>
      <x:c r="I82" s="23" t="n">
        <x:v>65821</x:v>
      </x:c>
      <x:c r="J82" s="17" t="str">
        <x:v>CURRENT</x:v>
      </x:c>
    </x:row>
    <x:row r="83">
      <x:c r="A83" s="17" t="str">
        <x:v>APP2025000118</x:v>
      </x:c>
      <x:c r="B83" s="17" t="str">
        <x:v>Y</x:v>
      </x:c>
      <x:c r="C83" s="32" t="n">
        <x:v>45832.381944444445</x:v>
      </x:c>
      <x:c r="D83" s="23" t="n">
        <x:v>14000</x:v>
      </x:c>
      <x:c r="E83" s="32" t="n">
        <x:v>45862.381944444445</x:v>
      </x:c>
      <x:c r="F83" s="17" t="str">
        <x:v>N</x:v>
      </x:c>
      <x:c r="G83" s="17" t="str">
        <x:v>N</x:v>
      </x:c>
      <x:c r="H83" s="26" t="n">
        <x:v>9</x:v>
      </x:c>
      <x:c r="I83" s="23" t="n">
        <x:v>11264</x:v>
      </x:c>
      <x:c r="J83" s="17" t="str">
        <x:v>CURRENT</x:v>
      </x:c>
    </x:row>
    <x:row r="84">
      <x:c r="A84" s="17" t="str">
        <x:v>APP2025000120</x:v>
      </x:c>
      <x:c r="B84" s="17" t="str">
        <x:v>Y</x:v>
      </x:c>
      <x:c r="C84" s="32" t="n">
        <x:v>45681.57847222222</x:v>
      </x:c>
      <x:c r="D84" s="23" t="n">
        <x:v>85000</x:v>
      </x:c>
      <x:c r="E84" s="32" t="n">
        <x:v>45711.57847222222</x:v>
      </x:c>
      <x:c r="F84" s="17" t="str">
        <x:v>N</x:v>
      </x:c>
      <x:c r="G84" s="17" t="str">
        <x:v>N</x:v>
      </x:c>
      <x:c r="H84" s="26" t="n">
        <x:v>10</x:v>
      </x:c>
      <x:c r="I84" s="23" t="n">
        <x:v>74827</x:v>
      </x:c>
      <x:c r="J84" s="17" t="str">
        <x:v>CURRENT</x:v>
      </x:c>
    </x:row>
    <x:row r="85">
      <x:c r="A85" s="17" t="str">
        <x:v>APP2025000121</x:v>
      </x:c>
      <x:c r="B85" s="17" t="str">
        <x:v>Y</x:v>
      </x:c>
      <x:c r="C85" s="32" t="n">
        <x:v>45786.68819444445</x:v>
      </x:c>
      <x:c r="D85" s="23" t="n">
        <x:v>130000</x:v>
      </x:c>
      <x:c r="E85" s="32" t="n">
        <x:v>45816.68819444445</x:v>
      </x:c>
      <x:c r="F85" s="17" t="str">
        <x:v>N</x:v>
      </x:c>
      <x:c r="G85" s="17" t="str">
        <x:v>N</x:v>
      </x:c>
      <x:c r="H85" s="26" t="n">
        <x:v>12</x:v>
      </x:c>
      <x:c r="I85" s="23" t="n">
        <x:v>123872</x:v>
      </x:c>
      <x:c r="J85" s="17" t="str">
        <x:v>CURRENT</x:v>
      </x:c>
    </x:row>
    <x:row r="86">
      <x:c r="A86" s="17" t="str">
        <x:v>APP2025000122</x:v>
      </x:c>
      <x:c r="B86" s="17" t="str">
        <x:v>Y</x:v>
      </x:c>
      <x:c r="C86" s="32" t="n">
        <x:v>45703.464583333334</x:v>
      </x:c>
      <x:c r="D86" s="23" t="n">
        <x:v>14000</x:v>
      </x:c>
      <x:c r="E86" s="32" t="n">
        <x:v>45733.464583333334</x:v>
      </x:c>
      <x:c r="F86" s="17" t="str">
        <x:v>N</x:v>
      </x:c>
      <x:c r="G86" s="17" t="str">
        <x:v>N</x:v>
      </x:c>
      <x:c r="H86" s="26" t="n">
        <x:v>13</x:v>
      </x:c>
      <x:c r="I86" s="23" t="n">
        <x:v>11976</x:v>
      </x:c>
      <x:c r="J86" s="17" t="str">
        <x:v>CURRENT</x:v>
      </x:c>
    </x:row>
    <x:row r="87">
      <x:c r="A87" s="17" t="str">
        <x:v>APP2025000123</x:v>
      </x:c>
      <x:c r="B87" s="17" t="str">
        <x:v>Y</x:v>
      </x:c>
      <x:c r="C87" s="32" t="n">
        <x:v>45831.69583333333</x:v>
      </x:c>
      <x:c r="D87" s="23" t="n">
        <x:v>18000</x:v>
      </x:c>
      <x:c r="E87" s="32" t="n">
        <x:v>45861.69583333333</x:v>
      </x:c>
      <x:c r="F87" s="17" t="str">
        <x:v>N</x:v>
      </x:c>
      <x:c r="G87" s="17" t="str">
        <x:v>N</x:v>
      </x:c>
      <x:c r="H87" s="26" t="n">
        <x:v>8</x:v>
      </x:c>
      <x:c r="I87" s="23" t="n">
        <x:v>14465</x:v>
      </x:c>
      <x:c r="J87" s="17" t="str">
        <x:v>CURRENT</x:v>
      </x:c>
    </x:row>
    <x:row r="88">
      <x:c r="A88" s="17" t="str">
        <x:v>APP2025000124</x:v>
      </x:c>
      <x:c r="B88" s="17" t="str">
        <x:v>Y</x:v>
      </x:c>
      <x:c r="C88" s="32" t="n">
        <x:v>45767.61597222222</x:v>
      </x:c>
      <x:c r="D88" s="23" t="n">
        <x:v>113000</x:v>
      </x:c>
      <x:c r="E88" s="32" t="n">
        <x:v>45797.61597222222</x:v>
      </x:c>
      <x:c r="F88" s="17" t="str">
        <x:v>N</x:v>
      </x:c>
      <x:c r="G88" s="17" t="str">
        <x:v>N</x:v>
      </x:c>
      <x:c r="H88" s="26" t="n">
        <x:v>14</x:v>
      </x:c>
      <x:c r="I88" s="23" t="n">
        <x:v>92455</x:v>
      </x:c>
      <x:c r="J88" s="17" t="str">
        <x:v>SETTLED</x:v>
      </x:c>
    </x:row>
    <x:row r="89">
      <x:c r="A89" s="17" t="str">
        <x:v>APP2025000127</x:v>
      </x:c>
      <x:c r="B89" s="17" t="str">
        <x:v>Y</x:v>
      </x:c>
      <x:c r="C89" s="32" t="n">
        <x:v>45829.60486111111</x:v>
      </x:c>
      <x:c r="D89" s="23" t="n">
        <x:v>79000</x:v>
      </x:c>
      <x:c r="E89" s="32" t="n">
        <x:v>45859.60486111111</x:v>
      </x:c>
      <x:c r="F89" s="17" t="str">
        <x:v>N</x:v>
      </x:c>
      <x:c r="G89" s="17" t="str">
        <x:v>N</x:v>
      </x:c>
      <x:c r="H89" s="26" t="n">
        <x:v>13</x:v>
      </x:c>
      <x:c r="I89" s="23" t="n">
        <x:v>72761</x:v>
      </x:c>
      <x:c r="J89" s="17" t="str">
        <x:v>SETTLED</x:v>
      </x:c>
    </x:row>
    <x:row r="90">
      <x:c r="A90" s="17" t="str">
        <x:v>APP2025000128</x:v>
      </x:c>
      <x:c r="B90" s="17" t="str">
        <x:v>Y</x:v>
      </x:c>
      <x:c r="C90" s="32" t="n">
        <x:v>45680.73333333333</x:v>
      </x:c>
      <x:c r="D90" s="23" t="n">
        <x:v>27000</x:v>
      </x:c>
      <x:c r="E90" s="32" t="n">
        <x:v>45710.73333333333</x:v>
      </x:c>
      <x:c r="F90" s="17" t="str">
        <x:v>Y</x:v>
      </x:c>
      <x:c r="G90" s="17" t="str">
        <x:v>Y</x:v>
      </x:c>
      <x:c r="H90" s="26" t="n">
        <x:v>6</x:v>
      </x:c>
      <x:c r="I90" s="23" t="n">
        <x:v>11259</x:v>
      </x:c>
      <x:c r="J90" s="17" t="str">
        <x:v>OVERDUE_90</x:v>
      </x:c>
    </x:row>
    <x:row r="91">
      <x:c r="A91" s="17" t="str">
        <x:v>APP2025000129</x:v>
      </x:c>
      <x:c r="B91" s="17" t="str">
        <x:v>Y</x:v>
      </x:c>
      <x:c r="C91" s="32" t="n">
        <x:v>45794.64236111111</x:v>
      </x:c>
      <x:c r="D91" s="23" t="n">
        <x:v>10000</x:v>
      </x:c>
      <x:c r="E91" s="32" t="n">
        <x:v>45824.64236111111</x:v>
      </x:c>
      <x:c r="F91" s="17" t="str">
        <x:v>N</x:v>
      </x:c>
      <x:c r="G91" s="17" t="str">
        <x:v>N</x:v>
      </x:c>
      <x:c r="H91" s="26" t="n">
        <x:v>13</x:v>
      </x:c>
      <x:c r="I91" s="23" t="n">
        <x:v>9388</x:v>
      </x:c>
      <x:c r="J91" s="17" t="str">
        <x:v>SETTLED</x:v>
      </x:c>
    </x:row>
    <x:row r="92">
      <x:c r="A92" s="17" t="str">
        <x:v>APP2025000130</x:v>
      </x:c>
      <x:c r="B92" s="17" t="str">
        <x:v>Y</x:v>
      </x:c>
      <x:c r="C92" s="32" t="n">
        <x:v>45708.654861111114</x:v>
      </x:c>
      <x:c r="D92" s="23" t="n">
        <x:v>108000</x:v>
      </x:c>
      <x:c r="E92" s="32" t="n">
        <x:v>45738.654861111114</x:v>
      </x:c>
      <x:c r="F92" s="17" t="str">
        <x:v>N</x:v>
      </x:c>
      <x:c r="G92" s="17" t="str">
        <x:v>N</x:v>
      </x:c>
      <x:c r="H92" s="26" t="n">
        <x:v>8</x:v>
      </x:c>
      <x:c r="I92" s="23" t="n">
        <x:v>106294</x:v>
      </x:c>
      <x:c r="J92" s="17" t="str">
        <x:v>CURRENT</x:v>
      </x:c>
    </x:row>
    <x:row r="93">
      <x:c r="A93" s="17" t="str">
        <x:v>APP2025000131</x:v>
      </x:c>
      <x:c r="B93" s="17" t="str">
        <x:v>Y</x:v>
      </x:c>
      <x:c r="C93" s="32" t="n">
        <x:v>45675.39513888889</x:v>
      </x:c>
      <x:c r="D93" s="23" t="n">
        <x:v>75000</x:v>
      </x:c>
      <x:c r="E93" s="32" t="n">
        <x:v>45705.39513888889</x:v>
      </x:c>
      <x:c r="F93" s="17" t="str">
        <x:v>N</x:v>
      </x:c>
      <x:c r="G93" s="17" t="str">
        <x:v>N</x:v>
      </x:c>
      <x:c r="H93" s="26" t="n">
        <x:v>7</x:v>
      </x:c>
      <x:c r="I93" s="23" t="n">
        <x:v>58862</x:v>
      </x:c>
      <x:c r="J93" s="17" t="str">
        <x:v>SETTLED</x:v>
      </x:c>
    </x:row>
    <x:row r="94">
      <x:c r="A94" s="17" t="str">
        <x:v>APP2025000132</x:v>
      </x:c>
      <x:c r="B94" s="17" t="str">
        <x:v>Y</x:v>
      </x:c>
      <x:c r="C94" s="32" t="n">
        <x:v>45770.73541666667</x:v>
      </x:c>
      <x:c r="D94" s="23" t="n">
        <x:v>18000</x:v>
      </x:c>
      <x:c r="E94" s="32" t="n">
        <x:v>45800.73541666667</x:v>
      </x:c>
      <x:c r="F94" s="17" t="str">
        <x:v>Y</x:v>
      </x:c>
      <x:c r="G94" s="17" t="str">
        <x:v>N</x:v>
      </x:c>
      <x:c r="H94" s="26" t="n">
        <x:v>13</x:v>
      </x:c>
      <x:c r="I94" s="23" t="n">
        <x:v>13529</x:v>
      </x:c>
      <x:c r="J94" s="17" t="str">
        <x:v>OVERDUE_30</x:v>
      </x:c>
    </x:row>
    <x:row r="95">
      <x:c r="A95" s="17" t="str">
        <x:v>APP2025000133</x:v>
      </x:c>
      <x:c r="B95" s="17" t="str">
        <x:v>Y</x:v>
      </x:c>
      <x:c r="C95" s="32" t="n">
        <x:v>45674.444444444445</x:v>
      </x:c>
      <x:c r="D95" s="23" t="n">
        <x:v>50000</x:v>
      </x:c>
      <x:c r="E95" s="32" t="n">
        <x:v>45704.444444444445</x:v>
      </x:c>
      <x:c r="F95" s="17" t="str">
        <x:v>N</x:v>
      </x:c>
      <x:c r="G95" s="17" t="str">
        <x:v>N</x:v>
      </x:c>
      <x:c r="H95" s="26" t="n">
        <x:v>7</x:v>
      </x:c>
      <x:c r="I95" s="23" t="n">
        <x:v>42126</x:v>
      </x:c>
      <x:c r="J95" s="17" t="str">
        <x:v>SETTLED</x:v>
      </x:c>
    </x:row>
    <x:row r="96">
      <x:c r="A96" s="17" t="str">
        <x:v>APP2025000134</x:v>
      </x:c>
      <x:c r="B96" s="17" t="str">
        <x:v>Y</x:v>
      </x:c>
      <x:c r="C96" s="32" t="n">
        <x:v>45683.67916666667</x:v>
      </x:c>
      <x:c r="D96" s="23" t="n">
        <x:v>30000</x:v>
      </x:c>
      <x:c r="E96" s="32" t="n">
        <x:v>45713.67916666667</x:v>
      </x:c>
      <x:c r="F96" s="17" t="str">
        <x:v>N</x:v>
      </x:c>
      <x:c r="G96" s="17" t="str">
        <x:v>N</x:v>
      </x:c>
      <x:c r="H96" s="26" t="n">
        <x:v>13</x:v>
      </x:c>
      <x:c r="I96" s="23" t="n">
        <x:v>26362</x:v>
      </x:c>
      <x:c r="J96" s="17" t="str">
        <x:v>CURRENT</x:v>
      </x:c>
    </x:row>
    <x:row r="97">
      <x:c r="A97" s="17" t="str">
        <x:v>APP2025000136</x:v>
      </x:c>
      <x:c r="B97" s="17" t="str">
        <x:v>Y</x:v>
      </x:c>
      <x:c r="C97" s="32" t="n">
        <x:v>45790.361805555556</x:v>
      </x:c>
      <x:c r="D97" s="23" t="n">
        <x:v>106000</x:v>
      </x:c>
      <x:c r="E97" s="32" t="n">
        <x:v>45820.361805555556</x:v>
      </x:c>
      <x:c r="F97" s="17" t="str">
        <x:v>N</x:v>
      </x:c>
      <x:c r="G97" s="17" t="str">
        <x:v>N</x:v>
      </x:c>
      <x:c r="H97" s="26" t="n">
        <x:v>7</x:v>
      </x:c>
      <x:c r="I97" s="23" t="n">
        <x:v>90963</x:v>
      </x:c>
      <x:c r="J97" s="17" t="str">
        <x:v>SETTLED</x:v>
      </x:c>
    </x:row>
    <x:row r="98">
      <x:c r="A98" s="17" t="str">
        <x:v>APP2025000137</x:v>
      </x:c>
      <x:c r="B98" s="17" t="str">
        <x:v>Y</x:v>
      </x:c>
      <x:c r="C98" s="32" t="n">
        <x:v>45751.458333333336</x:v>
      </x:c>
      <x:c r="D98" s="23" t="n">
        <x:v>123000</x:v>
      </x:c>
      <x:c r="E98" s="32" t="n">
        <x:v>45781.458333333336</x:v>
      </x:c>
      <x:c r="F98" s="17" t="str">
        <x:v>N</x:v>
      </x:c>
      <x:c r="G98" s="17" t="str">
        <x:v>N</x:v>
      </x:c>
      <x:c r="H98" s="26" t="n">
        <x:v>10</x:v>
      </x:c>
      <x:c r="I98" s="23" t="n">
        <x:v>93355</x:v>
      </x:c>
      <x:c r="J98" s="17" t="str">
        <x:v>CURRENT</x:v>
      </x:c>
    </x:row>
    <x:row r="99">
      <x:c r="A99" s="17" t="str">
        <x:v>APP2025000140</x:v>
      </x:c>
      <x:c r="B99" s="17" t="str">
        <x:v>Y</x:v>
      </x:c>
      <x:c r="C99" s="32" t="n">
        <x:v>45786.67083333333</x:v>
      </x:c>
      <x:c r="D99" s="23" t="n">
        <x:v>115000</x:v>
      </x:c>
      <x:c r="E99" s="32" t="n">
        <x:v>45816.67083333333</x:v>
      </x:c>
      <x:c r="F99" s="17" t="str">
        <x:v>N</x:v>
      </x:c>
      <x:c r="G99" s="17" t="str">
        <x:v>N</x:v>
      </x:c>
      <x:c r="H99" s="26" t="n">
        <x:v>9</x:v>
      </x:c>
      <x:c r="I99" s="23" t="n">
        <x:v>113862</x:v>
      </x:c>
      <x:c r="J99" s="17" t="str">
        <x:v>CURRENT</x:v>
      </x:c>
    </x:row>
    <x:row r="100">
      <x:c r="A100" s="17" t="str">
        <x:v>APP2025000141</x:v>
      </x:c>
      <x:c r="B100" s="17" t="str">
        <x:v>Y</x:v>
      </x:c>
      <x:c r="C100" s="32" t="n">
        <x:v>45678.43958333333</x:v>
      </x:c>
      <x:c r="D100" s="23" t="n">
        <x:v>119000</x:v>
      </x:c>
      <x:c r="E100" s="32" t="n">
        <x:v>45708.43958333333</x:v>
      </x:c>
      <x:c r="F100" s="17" t="str">
        <x:v>N</x:v>
      </x:c>
      <x:c r="G100" s="17" t="str">
        <x:v>N</x:v>
      </x:c>
      <x:c r="H100" s="26" t="n">
        <x:v>13</x:v>
      </x:c>
      <x:c r="I100" s="23" t="n">
        <x:v>102415</x:v>
      </x:c>
      <x:c r="J100" s="17" t="str">
        <x:v>CURRENT</x:v>
      </x:c>
    </x:row>
    <x:row r="101">
      <x:c r="A101" s="17" t="str">
        <x:v>APP2025000143</x:v>
      </x:c>
      <x:c r="B101" s="17" t="str">
        <x:v>Y</x:v>
      </x:c>
      <x:c r="C101" s="32" t="n">
        <x:v>45669.34027777778</x:v>
      </x:c>
      <x:c r="D101" s="23" t="n">
        <x:v>117000</x:v>
      </x:c>
      <x:c r="E101" s="32" t="n">
        <x:v>45699.34027777778</x:v>
      </x:c>
      <x:c r="F101" s="17" t="str">
        <x:v>N</x:v>
      </x:c>
      <x:c r="G101" s="17" t="str">
        <x:v>N</x:v>
      </x:c>
      <x:c r="H101" s="26" t="n">
        <x:v>15</x:v>
      </x:c>
      <x:c r="I101" s="23" t="n">
        <x:v>88825</x:v>
      </x:c>
      <x:c r="J101" s="17" t="str">
        <x:v>SETTLED</x:v>
      </x:c>
    </x:row>
    <x:row r="102">
      <x:c r="A102" s="17" t="str">
        <x:v>APP2025000145</x:v>
      </x:c>
      <x:c r="B102" s="17" t="str">
        <x:v>Y</x:v>
      </x:c>
      <x:c r="C102" s="32" t="n">
        <x:v>45681.59097222222</x:v>
      </x:c>
      <x:c r="D102" s="23" t="n">
        <x:v>126000</x:v>
      </x:c>
      <x:c r="E102" s="32" t="n">
        <x:v>45711.59097222222</x:v>
      </x:c>
      <x:c r="F102" s="17" t="str">
        <x:v>N</x:v>
      </x:c>
      <x:c r="G102" s="17" t="str">
        <x:v>N</x:v>
      </x:c>
      <x:c r="H102" s="26" t="n">
        <x:v>15</x:v>
      </x:c>
      <x:c r="I102" s="23" t="n">
        <x:v>115652</x:v>
      </x:c>
      <x:c r="J102" s="17" t="str">
        <x:v>SETTLED</x:v>
      </x:c>
    </x:row>
    <x:row r="103">
      <x:c r="A103" s="17" t="str">
        <x:v>APP2025000147</x:v>
      </x:c>
      <x:c r="B103" s="17" t="str">
        <x:v>Y</x:v>
      </x:c>
      <x:c r="C103" s="32" t="n">
        <x:v>45765.66875</x:v>
      </x:c>
      <x:c r="D103" s="23" t="n">
        <x:v>28000</x:v>
      </x:c>
      <x:c r="E103" s="32" t="n">
        <x:v>45795.66875</x:v>
      </x:c>
      <x:c r="F103" s="17" t="str">
        <x:v>N</x:v>
      </x:c>
      <x:c r="G103" s="17" t="str">
        <x:v>N</x:v>
      </x:c>
      <x:c r="H103" s="26" t="n">
        <x:v>14</x:v>
      </x:c>
      <x:c r="I103" s="23" t="n">
        <x:v>26591</x:v>
      </x:c>
      <x:c r="J103" s="17" t="str">
        <x:v>CURRENT</x:v>
      </x:c>
    </x:row>
    <x:row r="104">
      <x:c r="A104" s="17" t="str">
        <x:v>APP2025000149</x:v>
      </x:c>
      <x:c r="B104" s="17" t="str">
        <x:v>Y</x:v>
      </x:c>
      <x:c r="C104" s="32" t="n">
        <x:v>45760.73472222222</x:v>
      </x:c>
      <x:c r="D104" s="23" t="n">
        <x:v>131000</x:v>
      </x:c>
      <x:c r="E104" s="32" t="n">
        <x:v>45790.73472222222</x:v>
      </x:c>
      <x:c r="F104" s="17" t="str">
        <x:v>N</x:v>
      </x:c>
      <x:c r="G104" s="17" t="str">
        <x:v>N</x:v>
      </x:c>
      <x:c r="H104" s="26" t="n">
        <x:v>6</x:v>
      </x:c>
      <x:c r="I104" s="23" t="n">
        <x:v>101023</x:v>
      </x:c>
      <x:c r="J104" s="17" t="str">
        <x:v>CURRENT</x:v>
      </x:c>
    </x:row>
    <x:row r="105">
      <x:c r="A105" s="17" t="str">
        <x:v>APP2025000150</x:v>
      </x:c>
      <x:c r="B105" s="17" t="str">
        <x:v>Y</x:v>
      </x:c>
      <x:c r="C105" s="32" t="n">
        <x:v>45725.70138888889</x:v>
      </x:c>
      <x:c r="D105" s="23" t="n">
        <x:v>28000</x:v>
      </x:c>
      <x:c r="E105" s="32" t="n">
        <x:v>45755.70138888889</x:v>
      </x:c>
      <x:c r="F105" s="17" t="str">
        <x:v>N</x:v>
      </x:c>
      <x:c r="G105" s="17" t="str">
        <x:v>N</x:v>
      </x:c>
      <x:c r="H105" s="26" t="n">
        <x:v>6</x:v>
      </x:c>
      <x:c r="I105" s="23" t="n">
        <x:v>26326</x:v>
      </x:c>
      <x:c r="J105" s="17" t="str">
        <x:v>CURRENT</x:v>
      </x:c>
    </x:row>
    <x:row r="106">
      <x:c r="A106" s="17" t="str">
        <x:v>APP2025000151</x:v>
      </x:c>
      <x:c r="B106" s="17" t="str">
        <x:v>Y</x:v>
      </x:c>
      <x:c r="C106" s="32" t="n">
        <x:v>45684.407638888886</x:v>
      </x:c>
      <x:c r="D106" s="23" t="n">
        <x:v>20000</x:v>
      </x:c>
      <x:c r="E106" s="32" t="n">
        <x:v>45714.407638888886</x:v>
      </x:c>
      <x:c r="F106" s="17" t="str">
        <x:v>N</x:v>
      </x:c>
      <x:c r="G106" s="17" t="str">
        <x:v>N</x:v>
      </x:c>
      <x:c r="H106" s="26" t="n">
        <x:v>6</x:v>
      </x:c>
      <x:c r="I106" s="23" t="n">
        <x:v>15260</x:v>
      </x:c>
      <x:c r="J106" s="17" t="str">
        <x:v>SETTLED</x:v>
      </x:c>
    </x:row>
    <x:row r="107">
      <x:c r="A107" s="17" t="str">
        <x:v>APP2025000152</x:v>
      </x:c>
      <x:c r="B107" s="17" t="str">
        <x:v>Y</x:v>
      </x:c>
      <x:c r="C107" s="32" t="n">
        <x:v>45701.69930555556</x:v>
      </x:c>
      <x:c r="D107" s="23" t="n">
        <x:v>103000</x:v>
      </x:c>
      <x:c r="E107" s="32" t="n">
        <x:v>45731.69930555556</x:v>
      </x:c>
      <x:c r="F107" s="17" t="str">
        <x:v>N</x:v>
      </x:c>
      <x:c r="G107" s="17" t="str">
        <x:v>N</x:v>
      </x:c>
      <x:c r="H107" s="26" t="n">
        <x:v>11</x:v>
      </x:c>
      <x:c r="I107" s="23" t="n">
        <x:v>88022</x:v>
      </x:c>
      <x:c r="J107" s="17" t="str">
        <x:v>CURRENT</x:v>
      </x:c>
    </x:row>
    <x:row r="108">
      <x:c r="A108" s="17" t="str">
        <x:v>APP2025000153</x:v>
      </x:c>
      <x:c r="B108" s="17" t="str">
        <x:v>Y</x:v>
      </x:c>
      <x:c r="C108" s="32" t="n">
        <x:v>45759.65972222222</x:v>
      </x:c>
      <x:c r="D108" s="23" t="n">
        <x:v>55000</x:v>
      </x:c>
      <x:c r="E108" s="32" t="n">
        <x:v>45789.65972222222</x:v>
      </x:c>
      <x:c r="F108" s="17" t="str">
        <x:v>N</x:v>
      </x:c>
      <x:c r="G108" s="17" t="str">
        <x:v>N</x:v>
      </x:c>
      <x:c r="H108" s="26" t="n">
        <x:v>6</x:v>
      </x:c>
      <x:c r="I108" s="23" t="n">
        <x:v>48771</x:v>
      </x:c>
      <x:c r="J108" s="17" t="str">
        <x:v>CURRENT</x:v>
      </x:c>
    </x:row>
    <x:row r="109">
      <x:c r="A109" s="17" t="str">
        <x:v>APP2025000155</x:v>
      </x:c>
      <x:c r="B109" s="17" t="str">
        <x:v>Y</x:v>
      </x:c>
      <x:c r="C109" s="32" t="n">
        <x:v>45787.5375</x:v>
      </x:c>
      <x:c r="D109" s="23" t="n">
        <x:v>53000</x:v>
      </x:c>
      <x:c r="E109" s="32" t="n">
        <x:v>45817.5375</x:v>
      </x:c>
      <x:c r="F109" s="17" t="str">
        <x:v>N</x:v>
      </x:c>
      <x:c r="G109" s="17" t="str">
        <x:v>N</x:v>
      </x:c>
      <x:c r="H109" s="26" t="n">
        <x:v>15</x:v>
      </x:c>
      <x:c r="I109" s="23" t="n">
        <x:v>43909</x:v>
      </x:c>
      <x:c r="J109" s="17" t="str">
        <x:v>CURRENT</x:v>
      </x:c>
    </x:row>
    <x:row r="110">
      <x:c r="A110" s="17" t="str">
        <x:v>APP2025000156</x:v>
      </x:c>
      <x:c r="B110" s="17" t="str">
        <x:v>Y</x:v>
      </x:c>
      <x:c r="C110" s="32" t="n">
        <x:v>45792.74444444444</x:v>
      </x:c>
      <x:c r="D110" s="23" t="n">
        <x:v>31000</x:v>
      </x:c>
      <x:c r="E110" s="32" t="n">
        <x:v>45822.74444444444</x:v>
      </x:c>
      <x:c r="F110" s="17" t="str">
        <x:v>N</x:v>
      </x:c>
      <x:c r="G110" s="17" t="str">
        <x:v>N</x:v>
      </x:c>
      <x:c r="H110" s="26" t="n">
        <x:v>10</x:v>
      </x:c>
      <x:c r="I110" s="23" t="n">
        <x:v>26788</x:v>
      </x:c>
      <x:c r="J110" s="17" t="str">
        <x:v>CURRENT</x:v>
      </x:c>
    </x:row>
    <x:row r="111">
      <x:c r="A111" s="17" t="str">
        <x:v>APP2025000157</x:v>
      </x:c>
      <x:c r="B111" s="17" t="str">
        <x:v>Y</x:v>
      </x:c>
      <x:c r="C111" s="32" t="n">
        <x:v>45781.70416666667</x:v>
      </x:c>
      <x:c r="D111" s="23" t="n">
        <x:v>22000</x:v>
      </x:c>
      <x:c r="E111" s="32" t="n">
        <x:v>45811.70416666667</x:v>
      </x:c>
      <x:c r="F111" s="17" t="str">
        <x:v>N</x:v>
      </x:c>
      <x:c r="G111" s="17" t="str">
        <x:v>N</x:v>
      </x:c>
      <x:c r="H111" s="26" t="n">
        <x:v>7</x:v>
      </x:c>
      <x:c r="I111" s="23" t="n">
        <x:v>16634</x:v>
      </x:c>
      <x:c r="J111" s="17" t="str">
        <x:v>SETTLED</x:v>
      </x:c>
    </x:row>
    <x:row r="112">
      <x:c r="A112" s="17" t="str">
        <x:v>APP2025000158</x:v>
      </x:c>
      <x:c r="B112" s="17" t="str">
        <x:v>Y</x:v>
      </x:c>
      <x:c r="C112" s="32" t="n">
        <x:v>45747.65972222222</x:v>
      </x:c>
      <x:c r="D112" s="23" t="n">
        <x:v>42000</x:v>
      </x:c>
      <x:c r="E112" s="32" t="n">
        <x:v>45777.65972222222</x:v>
      </x:c>
      <x:c r="F112" s="17" t="str">
        <x:v>N</x:v>
      </x:c>
      <x:c r="G112" s="17" t="str">
        <x:v>N</x:v>
      </x:c>
      <x:c r="H112" s="26" t="n">
        <x:v>6</x:v>
      </x:c>
      <x:c r="I112" s="23" t="n">
        <x:v>38213</x:v>
      </x:c>
      <x:c r="J112" s="17" t="str">
        <x:v>CURRENT</x:v>
      </x:c>
    </x:row>
    <x:row r="113">
      <x:c r="A113" s="17" t="str">
        <x:v>APP2025000159</x:v>
      </x:c>
      <x:c r="B113" s="17" t="str">
        <x:v>Y</x:v>
      </x:c>
      <x:c r="C113" s="32" t="n">
        <x:v>45672.38402777778</x:v>
      </x:c>
      <x:c r="D113" s="23" t="n">
        <x:v>127000</x:v>
      </x:c>
      <x:c r="E113" s="32" t="n">
        <x:v>45702.38402777778</x:v>
      </x:c>
      <x:c r="F113" s="17" t="str">
        <x:v>N</x:v>
      </x:c>
      <x:c r="G113" s="17" t="str">
        <x:v>N</x:v>
      </x:c>
      <x:c r="H113" s="26" t="n">
        <x:v>14</x:v>
      </x:c>
      <x:c r="I113" s="23" t="n">
        <x:v>102108</x:v>
      </x:c>
      <x:c r="J113" s="17" t="str">
        <x:v>CURRENT</x:v>
      </x:c>
    </x:row>
    <x:row r="114">
      <x:c r="A114" s="17" t="str">
        <x:v>APP2025000160</x:v>
      </x:c>
      <x:c r="B114" s="17" t="str">
        <x:v>Y</x:v>
      </x:c>
      <x:c r="C114" s="32" t="n">
        <x:v>45815.634722222225</x:v>
      </x:c>
      <x:c r="D114" s="23" t="n">
        <x:v>25000</x:v>
      </x:c>
      <x:c r="E114" s="32" t="n">
        <x:v>45845.634722222225</x:v>
      </x:c>
      <x:c r="F114" s="17" t="str">
        <x:v>N</x:v>
      </x:c>
      <x:c r="G114" s="17" t="str">
        <x:v>N</x:v>
      </x:c>
      <x:c r="H114" s="26" t="n">
        <x:v>9</x:v>
      </x:c>
      <x:c r="I114" s="23" t="n">
        <x:v>21774</x:v>
      </x:c>
      <x:c r="J114" s="17" t="str">
        <x:v>SETTLED</x:v>
      </x:c>
    </x:row>
    <x:row r="115">
      <x:c r="A115" s="17" t="str">
        <x:v>APP2025000161</x:v>
      </x:c>
      <x:c r="B115" s="17" t="str">
        <x:v>Y</x:v>
      </x:c>
      <x:c r="C115" s="32" t="n">
        <x:v>45735.56319444445</x:v>
      </x:c>
      <x:c r="D115" s="23" t="n">
        <x:v>30000</x:v>
      </x:c>
      <x:c r="E115" s="32" t="n">
        <x:v>45765.56319444445</x:v>
      </x:c>
      <x:c r="F115" s="17" t="str">
        <x:v>N</x:v>
      </x:c>
      <x:c r="G115" s="17" t="str">
        <x:v>N</x:v>
      </x:c>
      <x:c r="H115" s="26" t="n">
        <x:v>11</x:v>
      </x:c>
      <x:c r="I115" s="23" t="n">
        <x:v>24445</x:v>
      </x:c>
      <x:c r="J115" s="17" t="str">
        <x:v>SETTLED</x:v>
      </x:c>
    </x:row>
    <x:row r="116">
      <x:c r="A116" s="17" t="str">
        <x:v>APP2025000162</x:v>
      </x:c>
      <x:c r="B116" s="17" t="str">
        <x:v>Y</x:v>
      </x:c>
      <x:c r="C116" s="32" t="n">
        <x:v>45794.47708333333</x:v>
      </x:c>
      <x:c r="D116" s="23" t="n">
        <x:v>42000</x:v>
      </x:c>
      <x:c r="E116" s="32" t="n">
        <x:v>45824.47708333333</x:v>
      </x:c>
      <x:c r="F116" s="17" t="str">
        <x:v>N</x:v>
      </x:c>
      <x:c r="G116" s="17" t="str">
        <x:v>N</x:v>
      </x:c>
      <x:c r="H116" s="26" t="n">
        <x:v>8</x:v>
      </x:c>
      <x:c r="I116" s="23" t="n">
        <x:v>34833</x:v>
      </x:c>
      <x:c r="J116" s="17" t="str">
        <x:v>CURRENT</x:v>
      </x:c>
    </x:row>
    <x:row r="117">
      <x:c r="A117" s="17" t="str">
        <x:v>APP2025000163</x:v>
      </x:c>
      <x:c r="B117" s="17" t="str">
        <x:v>Y</x:v>
      </x:c>
      <x:c r="C117" s="32" t="n">
        <x:v>45679.57152777778</x:v>
      </x:c>
      <x:c r="D117" s="23" t="n">
        <x:v>70000</x:v>
      </x:c>
      <x:c r="E117" s="32" t="n">
        <x:v>45709.57152777778</x:v>
      </x:c>
      <x:c r="F117" s="17" t="str">
        <x:v>N</x:v>
      </x:c>
      <x:c r="G117" s="17" t="str">
        <x:v>N</x:v>
      </x:c>
      <x:c r="H117" s="26" t="n">
        <x:v>11</x:v>
      </x:c>
      <x:c r="I117" s="23" t="n">
        <x:v>60439</x:v>
      </x:c>
      <x:c r="J117" s="17" t="str">
        <x:v>SETTLED</x:v>
      </x:c>
    </x:row>
    <x:row r="118">
      <x:c r="A118" s="17" t="str">
        <x:v>APP2025000165</x:v>
      </x:c>
      <x:c r="B118" s="17" t="str">
        <x:v>Y</x:v>
      </x:c>
      <x:c r="C118" s="32" t="n">
        <x:v>45837.56319444445</x:v>
      </x:c>
      <x:c r="D118" s="23" t="n">
        <x:v>29000</x:v>
      </x:c>
      <x:c r="E118" s="32" t="n">
        <x:v>45867.56319444445</x:v>
      </x:c>
      <x:c r="F118" s="17" t="str">
        <x:v>N</x:v>
      </x:c>
      <x:c r="G118" s="17" t="str">
        <x:v>N</x:v>
      </x:c>
      <x:c r="H118" s="26" t="n">
        <x:v>6</x:v>
      </x:c>
      <x:c r="I118" s="23" t="n">
        <x:v>22351</x:v>
      </x:c>
      <x:c r="J118" s="17" t="str">
        <x:v>CURRENT</x:v>
      </x:c>
    </x:row>
    <x:row r="119">
      <x:c r="A119" s="17" t="str">
        <x:v>APP2025000166</x:v>
      </x:c>
      <x:c r="B119" s="17" t="str">
        <x:v>Y</x:v>
      </x:c>
      <x:c r="C119" s="32" t="n">
        <x:v>45714.65625</x:v>
      </x:c>
      <x:c r="D119" s="23" t="n">
        <x:v>65000</x:v>
      </x:c>
      <x:c r="E119" s="32" t="n">
        <x:v>45744.65625</x:v>
      </x:c>
      <x:c r="F119" s="17" t="str">
        <x:v>N</x:v>
      </x:c>
      <x:c r="G119" s="17" t="str">
        <x:v>N</x:v>
      </x:c>
      <x:c r="H119" s="26" t="n">
        <x:v>11</x:v>
      </x:c>
      <x:c r="I119" s="23" t="n">
        <x:v>62832</x:v>
      </x:c>
      <x:c r="J119" s="17" t="str">
        <x:v>SETTLED</x:v>
      </x:c>
    </x:row>
    <x:row r="120">
      <x:c r="A120" s="17" t="str">
        <x:v>APP2025000167</x:v>
      </x:c>
      <x:c r="B120" s="17" t="str">
        <x:v>Y</x:v>
      </x:c>
      <x:c r="C120" s="32" t="n">
        <x:v>45825.614583333336</x:v>
      </x:c>
      <x:c r="D120" s="23" t="n">
        <x:v>18000</x:v>
      </x:c>
      <x:c r="E120" s="32" t="n">
        <x:v>45855.614583333336</x:v>
      </x:c>
      <x:c r="F120" s="17" t="str">
        <x:v>N</x:v>
      </x:c>
      <x:c r="G120" s="17" t="str">
        <x:v>N</x:v>
      </x:c>
      <x:c r="H120" s="26" t="n">
        <x:v>8</x:v>
      </x:c>
      <x:c r="I120" s="23" t="n">
        <x:v>14852</x:v>
      </x:c>
      <x:c r="J120" s="17" t="str">
        <x:v>CURRENT</x:v>
      </x:c>
    </x:row>
    <x:row r="121">
      <x:c r="A121" s="17" t="str">
        <x:v>APP2025000170</x:v>
      </x:c>
      <x:c r="B121" s="17" t="str">
        <x:v>Y</x:v>
      </x:c>
      <x:c r="C121" s="32" t="n">
        <x:v>45721.51527777778</x:v>
      </x:c>
      <x:c r="D121" s="23" t="n">
        <x:v>94000</x:v>
      </x:c>
      <x:c r="E121" s="32" t="n">
        <x:v>45751.51527777778</x:v>
      </x:c>
      <x:c r="F121" s="17" t="str">
        <x:v>N</x:v>
      </x:c>
      <x:c r="G121" s="17" t="str">
        <x:v>N</x:v>
      </x:c>
      <x:c r="H121" s="26" t="n">
        <x:v>6</x:v>
      </x:c>
      <x:c r="I121" s="23" t="n">
        <x:v>91876</x:v>
      </x:c>
      <x:c r="J121" s="17" t="str">
        <x:v>SETTLED</x:v>
      </x:c>
    </x:row>
    <x:row r="122">
      <x:c r="A122" s="17" t="str">
        <x:v>APP2025000172</x:v>
      </x:c>
      <x:c r="B122" s="17" t="str">
        <x:v>Y</x:v>
      </x:c>
      <x:c r="C122" s="32" t="n">
        <x:v>45738.48125</x:v>
      </x:c>
      <x:c r="D122" s="23" t="n">
        <x:v>119000</x:v>
      </x:c>
      <x:c r="E122" s="32" t="n">
        <x:v>45768.48125</x:v>
      </x:c>
      <x:c r="F122" s="17" t="str">
        <x:v>N</x:v>
      </x:c>
      <x:c r="G122" s="17" t="str">
        <x:v>N</x:v>
      </x:c>
      <x:c r="H122" s="26" t="n">
        <x:v>6</x:v>
      </x:c>
      <x:c r="I122" s="23" t="n">
        <x:v>116546</x:v>
      </x:c>
      <x:c r="J122" s="17" t="str">
        <x:v>CURRENT</x:v>
      </x:c>
    </x:row>
    <x:row r="123">
      <x:c r="A123" s="17" t="str">
        <x:v>APP2025000175</x:v>
      </x:c>
      <x:c r="B123" s="17" t="str">
        <x:v>Y</x:v>
      </x:c>
      <x:c r="C123" s="32" t="n">
        <x:v>45755.53055555555</x:v>
      </x:c>
      <x:c r="D123" s="23" t="n">
        <x:v>11000</x:v>
      </x:c>
      <x:c r="E123" s="32" t="n">
        <x:v>45785.53055555555</x:v>
      </x:c>
      <x:c r="F123" s="17" t="str">
        <x:v>N</x:v>
      </x:c>
      <x:c r="G123" s="17" t="str">
        <x:v>N</x:v>
      </x:c>
      <x:c r="H123" s="26" t="n">
        <x:v>8</x:v>
      </x:c>
      <x:c r="I123" s="23" t="n">
        <x:v>11000</x:v>
      </x:c>
      <x:c r="J123" s="17" t="str">
        <x:v>CURRENT</x:v>
      </x:c>
    </x:row>
    <x:row r="124">
      <x:c r="A124" s="17" t="str">
        <x:v>APP2025000176</x:v>
      </x:c>
      <x:c r="B124" s="17" t="str">
        <x:v>Y</x:v>
      </x:c>
      <x:c r="C124" s="32" t="n">
        <x:v>45747.6125</x:v>
      </x:c>
      <x:c r="D124" s="23" t="n">
        <x:v>98000</x:v>
      </x:c>
      <x:c r="E124" s="32" t="n">
        <x:v>45777.6125</x:v>
      </x:c>
      <x:c r="F124" s="17" t="str">
        <x:v>N</x:v>
      </x:c>
      <x:c r="G124" s="17" t="str">
        <x:v>N</x:v>
      </x:c>
      <x:c r="H124" s="26" t="n">
        <x:v>6</x:v>
      </x:c>
      <x:c r="I124" s="23" t="n">
        <x:v>82866</x:v>
      </x:c>
      <x:c r="J124" s="17" t="str">
        <x:v>CURRENT</x:v>
      </x:c>
    </x:row>
    <x:row r="125">
      <x:c r="A125" s="17" t="str">
        <x:v>APP2025000185</x:v>
      </x:c>
      <x:c r="B125" s="17" t="str">
        <x:v>Y</x:v>
      </x:c>
      <x:c r="C125" s="32" t="n">
        <x:v>45739.34375</x:v>
      </x:c>
      <x:c r="D125" s="23" t="n">
        <x:v>64000</x:v>
      </x:c>
      <x:c r="E125" s="32" t="n">
        <x:v>45769.34375</x:v>
      </x:c>
      <x:c r="F125" s="17" t="str">
        <x:v>N</x:v>
      </x:c>
      <x:c r="G125" s="17" t="str">
        <x:v>N</x:v>
      </x:c>
      <x:c r="H125" s="26" t="n">
        <x:v>12</x:v>
      </x:c>
      <x:c r="I125" s="23" t="n">
        <x:v>53536</x:v>
      </x:c>
      <x:c r="J125" s="17" t="str">
        <x:v>SETTLED</x:v>
      </x:c>
    </x:row>
    <x:row r="126">
      <x:c r="A126" s="17" t="str">
        <x:v>APP2025000186</x:v>
      </x:c>
      <x:c r="B126" s="17" t="str">
        <x:v>Y</x:v>
      </x:c>
      <x:c r="C126" s="32" t="n">
        <x:v>45754.36944444444</x:v>
      </x:c>
      <x:c r="D126" s="23" t="n">
        <x:v>31000</x:v>
      </x:c>
      <x:c r="E126" s="32" t="n">
        <x:v>45784.36944444444</x:v>
      </x:c>
      <x:c r="F126" s="17" t="str">
        <x:v>N</x:v>
      </x:c>
      <x:c r="G126" s="17" t="str">
        <x:v>N</x:v>
      </x:c>
      <x:c r="H126" s="26" t="n">
        <x:v>11</x:v>
      </x:c>
      <x:c r="I126" s="23" t="n">
        <x:v>26713</x:v>
      </x:c>
      <x:c r="J126" s="17" t="str">
        <x:v>CURRENT</x:v>
      </x:c>
    </x:row>
    <x:row r="127">
      <x:c r="A127" s="17" t="str">
        <x:v>APP2025000187</x:v>
      </x:c>
      <x:c r="B127" s="17" t="str">
        <x:v>Y</x:v>
      </x:c>
      <x:c r="C127" s="32" t="n">
        <x:v>45685.52013888889</x:v>
      </x:c>
      <x:c r="D127" s="23" t="n">
        <x:v>13000</x:v>
      </x:c>
      <x:c r="E127" s="32" t="n">
        <x:v>45715.52013888889</x:v>
      </x:c>
      <x:c r="F127" s="17" t="str">
        <x:v>N</x:v>
      </x:c>
      <x:c r="G127" s="17" t="str">
        <x:v>N</x:v>
      </x:c>
      <x:c r="H127" s="26" t="n">
        <x:v>9</x:v>
      </x:c>
      <x:c r="I127" s="23" t="n">
        <x:v>11571</x:v>
      </x:c>
      <x:c r="J127" s="17" t="str">
        <x:v>SETTLED</x:v>
      </x:c>
    </x:row>
    <x:row r="128">
      <x:c r="A128" s="17" t="str">
        <x:v>APP2025000189</x:v>
      </x:c>
      <x:c r="B128" s="17" t="str">
        <x:v>Y</x:v>
      </x:c>
      <x:c r="C128" s="32" t="n">
        <x:v>45698.5625</x:v>
      </x:c>
      <x:c r="D128" s="23" t="n">
        <x:v>78000</x:v>
      </x:c>
      <x:c r="E128" s="32" t="n">
        <x:v>45728.5625</x:v>
      </x:c>
      <x:c r="F128" s="17" t="str">
        <x:v>Y</x:v>
      </x:c>
      <x:c r="G128" s="17" t="str">
        <x:v>N</x:v>
      </x:c>
      <x:c r="H128" s="26" t="n">
        <x:v>6</x:v>
      </x:c>
      <x:c r="I128" s="23" t="n">
        <x:v>59019</x:v>
      </x:c>
      <x:c r="J128" s="17" t="str">
        <x:v>OVERDUE_30</x:v>
      </x:c>
    </x:row>
    <x:row r="129">
      <x:c r="A129" s="17" t="str">
        <x:v>APP2025000190</x:v>
      </x:c>
      <x:c r="B129" s="17" t="str">
        <x:v>Y</x:v>
      </x:c>
      <x:c r="C129" s="32" t="n">
        <x:v>45800.78402777778</x:v>
      </x:c>
      <x:c r="D129" s="23" t="n">
        <x:v>111000</x:v>
      </x:c>
      <x:c r="E129" s="32" t="n">
        <x:v>45830.78402777778</x:v>
      </x:c>
      <x:c r="F129" s="17" t="str">
        <x:v>N</x:v>
      </x:c>
      <x:c r="G129" s="17" t="str">
        <x:v>N</x:v>
      </x:c>
      <x:c r="H129" s="26" t="n">
        <x:v>6</x:v>
      </x:c>
      <x:c r="I129" s="23" t="n">
        <x:v>102944</x:v>
      </x:c>
      <x:c r="J129" s="17" t="str">
        <x:v>SETTLED</x:v>
      </x:c>
    </x:row>
    <x:row r="130">
      <x:c r="A130" s="17" t="str">
        <x:v>APP2025000193</x:v>
      </x:c>
      <x:c r="B130" s="17" t="str">
        <x:v>Y</x:v>
      </x:c>
      <x:c r="C130" s="32" t="n">
        <x:v>45766.50763888889</x:v>
      </x:c>
      <x:c r="D130" s="23" t="n">
        <x:v>130000</x:v>
      </x:c>
      <x:c r="E130" s="32" t="n">
        <x:v>45796.50763888889</x:v>
      </x:c>
      <x:c r="F130" s="17" t="str">
        <x:v>N</x:v>
      </x:c>
      <x:c r="G130" s="17" t="str">
        <x:v>N</x:v>
      </x:c>
      <x:c r="H130" s="26" t="n">
        <x:v>9</x:v>
      </x:c>
      <x:c r="I130" s="23" t="n">
        <x:v>126484</x:v>
      </x:c>
      <x:c r="J130" s="17" t="str">
        <x:v>CURRENT</x:v>
      </x:c>
    </x:row>
    <x:row r="131">
      <x:c r="A131" s="17" t="str">
        <x:v>APP2025000194</x:v>
      </x:c>
      <x:c r="B131" s="17" t="str">
        <x:v>Y</x:v>
      </x:c>
      <x:c r="C131" s="32" t="n">
        <x:v>45685.47986111111</x:v>
      </x:c>
      <x:c r="D131" s="23" t="n">
        <x:v>127000</x:v>
      </x:c>
      <x:c r="E131" s="32" t="n">
        <x:v>45715.47986111111</x:v>
      </x:c>
      <x:c r="F131" s="17" t="str">
        <x:v>N</x:v>
      </x:c>
      <x:c r="G131" s="17" t="str">
        <x:v>N</x:v>
      </x:c>
      <x:c r="H131" s="26" t="n">
        <x:v>9</x:v>
      </x:c>
      <x:c r="I131" s="23" t="n">
        <x:v>125506</x:v>
      </x:c>
      <x:c r="J131" s="17" t="str">
        <x:v>CURRENT</x:v>
      </x:c>
    </x:row>
    <x:row r="132">
      <x:c r="A132" s="17" t="str">
        <x:v>APP2025000195</x:v>
      </x:c>
      <x:c r="B132" s="17" t="str">
        <x:v>Y</x:v>
      </x:c>
      <x:c r="C132" s="32" t="n">
        <x:v>45677.59375</x:v>
      </x:c>
      <x:c r="D132" s="23" t="n">
        <x:v>58000</x:v>
      </x:c>
      <x:c r="E132" s="32" t="n">
        <x:v>45707.59375</x:v>
      </x:c>
      <x:c r="F132" s="17" t="str">
        <x:v>N</x:v>
      </x:c>
      <x:c r="G132" s="17" t="str">
        <x:v>N</x:v>
      </x:c>
      <x:c r="H132" s="26" t="n">
        <x:v>6</x:v>
      </x:c>
      <x:c r="I132" s="23" t="n">
        <x:v>46736</x:v>
      </x:c>
      <x:c r="J132" s="17" t="str">
        <x:v>CURRENT</x:v>
      </x:c>
    </x:row>
    <x:row r="133">
      <x:c r="A133" s="17" t="str">
        <x:v>APP2025000196</x:v>
      </x:c>
      <x:c r="B133" s="17" t="str">
        <x:v>Y</x:v>
      </x:c>
      <x:c r="C133" s="32" t="n">
        <x:v>45736.44513888889</x:v>
      </x:c>
      <x:c r="D133" s="23" t="n">
        <x:v>124000</x:v>
      </x:c>
      <x:c r="E133" s="32" t="n">
        <x:v>45766.44513888889</x:v>
      </x:c>
      <x:c r="F133" s="17" t="str">
        <x:v>N</x:v>
      </x:c>
      <x:c r="G133" s="17" t="str">
        <x:v>N</x:v>
      </x:c>
      <x:c r="H133" s="26" t="n">
        <x:v>6</x:v>
      </x:c>
      <x:c r="I133" s="23" t="n">
        <x:v>101281</x:v>
      </x:c>
      <x:c r="J133" s="17" t="str">
        <x:v>CURRENT</x:v>
      </x:c>
    </x:row>
    <x:row r="134">
      <x:c r="A134" s="17" t="str">
        <x:v>APP2025000197</x:v>
      </x:c>
      <x:c r="B134" s="17" t="str">
        <x:v>Y</x:v>
      </x:c>
      <x:c r="C134" s="32" t="n">
        <x:v>45814.78194444445</x:v>
      </x:c>
      <x:c r="D134" s="23" t="n">
        <x:v>70000</x:v>
      </x:c>
      <x:c r="E134" s="32" t="n">
        <x:v>45844.78194444445</x:v>
      </x:c>
      <x:c r="F134" s="17" t="str">
        <x:v>N</x:v>
      </x:c>
      <x:c r="G134" s="17" t="str">
        <x:v>N</x:v>
      </x:c>
      <x:c r="H134" s="26" t="n">
        <x:v>8</x:v>
      </x:c>
      <x:c r="I134" s="23" t="n">
        <x:v>58098</x:v>
      </x:c>
      <x:c r="J134" s="17" t="str">
        <x:v>CURRENT</x:v>
      </x:c>
    </x:row>
    <x:row r="135">
      <x:c r="A135" s="17" t="str">
        <x:v>APP2025000198</x:v>
      </x:c>
      <x:c r="B135" s="17" t="str">
        <x:v>Y</x:v>
      </x:c>
      <x:c r="C135" s="32" t="n">
        <x:v>45776.39791666667</x:v>
      </x:c>
      <x:c r="D135" s="23" t="n">
        <x:v>50000</x:v>
      </x:c>
      <x:c r="E135" s="32" t="n">
        <x:v>45806.39791666667</x:v>
      </x:c>
      <x:c r="F135" s="17" t="str">
        <x:v>N</x:v>
      </x:c>
      <x:c r="G135" s="17" t="str">
        <x:v>N</x:v>
      </x:c>
      <x:c r="H135" s="26" t="n">
        <x:v>11</x:v>
      </x:c>
      <x:c r="I135" s="23" t="n">
        <x:v>46030</x:v>
      </x:c>
      <x:c r="J135" s="17" t="str">
        <x:v>CURRENT</x:v>
      </x:c>
    </x:row>
    <x:row r="136">
      <x:c r="A136" s="17" t="str">
        <x:v>APP2025000199</x:v>
      </x:c>
      <x:c r="B136" s="17" t="str">
        <x:v>Y</x:v>
      </x:c>
      <x:c r="C136" s="32" t="n">
        <x:v>45812.69652777778</x:v>
      </x:c>
      <x:c r="D136" s="23" t="n">
        <x:v>102000</x:v>
      </x:c>
      <x:c r="E136" s="32" t="n">
        <x:v>45842.69652777778</x:v>
      </x:c>
      <x:c r="F136" s="17" t="str">
        <x:v>N</x:v>
      </x:c>
      <x:c r="G136" s="17" t="str">
        <x:v>N</x:v>
      </x:c>
      <x:c r="H136" s="26" t="n">
        <x:v>12</x:v>
      </x:c>
      <x:c r="I136" s="23" t="n">
        <x:v>96064</x:v>
      </x:c>
      <x:c r="J136" s="17" t="str">
        <x:v>SETTLED</x:v>
      </x:c>
    </x:row>
    <x:row r="137">
      <x:c r="A137" s="18" t="str">
        <x:v>APP2025000200</x:v>
      </x:c>
      <x:c r="B137" s="18" t="str">
        <x:v>Y</x:v>
      </x:c>
      <x:c r="C137" s="33" t="n">
        <x:v>45783.416666666664</x:v>
      </x:c>
      <x:c r="D137" s="24" t="n">
        <x:v>19000</x:v>
      </x:c>
      <x:c r="E137" s="33" t="n">
        <x:v>45813.416666666664</x:v>
      </x:c>
      <x:c r="F137" s="18" t="str">
        <x:v>N</x:v>
      </x:c>
      <x:c r="G137" s="18" t="str">
        <x:v>N</x:v>
      </x:c>
      <x:c r="H137" s="27" t="n">
        <x:v>12</x:v>
      </x:c>
      <x:c r="I137" s="24" t="n">
        <x:v>18834</x:v>
      </x:c>
      <x:c r="J137" s="18" t="str">
        <x:v>SETTLED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7" hidden="0" customWidth="1"/>
    <x:col min="4" max="4" width="12" hidden="0" customWidth="1"/>
    <x:col min="5" max="5" width="15" hidden="0" customWidth="1"/>
    <x:col min="6" max="6" width="13" hidden="0" customWidth="1"/>
    <x:col min="7" max="7" width="17" hidden="0" customWidth="1"/>
    <x:col min="8" max="8" width="13" hidden="0" customWidth="1"/>
    <x:col min="9" max="9" width="19" hidden="0" customWidth="1"/>
    <x:col min="10" max="10" width="18" hidden="0" customWidth="1"/>
    <x:col min="11" max="11" width="15" hidden="0" customWidth="1"/>
    <x:col min="12" max="12" width="14" hidden="0" customWidth="1"/>
    <x:col min="13" max="13" width="14" hidden="0" customWidth="1"/>
    <x:col min="14" max="14" width="22" hidden="0" customWidth="1"/>
    <x:col min="15" max="15" width="13" hidden="0" customWidth="1"/>
    <x:col min="16" max="16" width="11" hidden="0" customWidth="1"/>
    <x:col min="17" max="17" width="11" hidden="0" customWidth="1"/>
    <x:col min="18" max="18" width="17" hidden="0" customWidth="1"/>
    <x:col min="19" max="19" width="18" hidden="0" customWidth="1"/>
    <x:col min="20" max="20" width="20" hidden="0" customWidth="1"/>
  </x:cols>
  <x:sheetData>
    <x:row r="1" ht="30" customHeight="1">
      <x:c r="A1" s="3" t="str">
        <x:v>06｜策略仿真宽表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2" customHeight="1">
      <x:c r="A2" s="7" t="str">
        <x:v>加工结果：按 application_id 关联五个来源。蓝色字段为候选策略公式输出，可直接作为CSV导入模板。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0" customHeight="1">
      <x:c r="A4" s="11" t="str">
        <x:v>application_id</x:v>
      </x:c>
      <x:c r="B4" s="11" t="str">
        <x:v>apply_time</x:v>
      </x:c>
      <x:c r="C4" s="11" t="str">
        <x:v>requested_amount</x:v>
      </x:c>
      <x:c r="D4" s="11" t="str">
        <x:v>term_months</x:v>
      </x:c>
      <x:c r="E4" s="11" t="str">
        <x:v>monthly_income</x:v>
      </x:c>
      <x:c r="F4" s="11" t="str">
        <x:v>credit_score</x:v>
      </x:c>
      <x:c r="G4" s="11" t="str">
        <x:v>debt_income_ratio</x:v>
      </x:c>
      <x:c r="H4" s="11" t="str">
        <x:v>current_loans</x:v>
      </x:c>
      <x:c r="I4" s="11" t="str">
        <x:v>overdue_count_12m</x:v>
      </x:c>
      <x:c r="J4" s="11" t="str">
        <x:v>max_overdue_days</x:v>
      </x:c>
      <x:c r="K4" s="11" t="str">
        <x:v>inquiries_6m</x:v>
      </x:c>
      <x:c r="L4" s="11" t="str">
        <x:v>whitelist_flag</x:v>
      </x:c>
      <x:c r="M4" s="11" t="str">
        <x:v>old_decision</x:v>
      </x:c>
      <x:c r="N4" s="11" t="str">
        <x:v>manual_review_result</x:v>
      </x:c>
      <x:c r="O4" s="11" t="str">
        <x:v>funded_flag</x:v>
      </x:c>
      <x:c r="P4" s="11" t="str">
        <x:v>bad30</x:v>
      </x:c>
      <x:c r="Q4" s="11" t="str">
        <x:v>bad90</x:v>
      </x:c>
      <x:c r="R4" s="11" t="str">
        <x:v>observed_months</x:v>
      </x:c>
      <x:c r="S4" s="11" t="str">
        <x:v>candidate_decision</x:v>
      </x:c>
      <x:c r="T4" s="11" t="str">
        <x:v>transition</x:v>
      </x:c>
    </x:row>
    <x:row r="5">
      <x:c r="A5" s="37" t="str">
        <x:v>APP2025000001</x:v>
      </x:c>
      <x:c r="B5" s="38" t="n">
        <x:f>VLOOKUP($A5,'01_申请数据'!$A$5:$L$204,3,FALSE)</x:f>
        <x:v>45801.52013888889</x:v>
      </x:c>
      <x:c r="C5" s="39" t="n">
        <x:f>VLOOKUP($A5,'01_申请数据'!$A$5:$L$204,5,FALSE)</x:f>
        <x:v>60000</x:v>
      </x:c>
      <x:c r="D5" s="40" t="n">
        <x:f>VLOOKUP($A5,'01_申请数据'!$A$5:$L$204,6,FALSE)</x:f>
        <x:v>36</x:v>
      </x:c>
      <x:c r="E5" s="39" t="n">
        <x:f>VLOOKUP($A5,'01_申请数据'!$A$5:$L$204,10,FALSE)</x:f>
        <x:v>14400</x:v>
      </x:c>
      <x:c r="F5" s="40" t="n">
        <x:f>VLOOKUP($A5,'02_征信特征'!$A$5:$J$204,3,FALSE)</x:f>
        <x:v>731</x:v>
      </x:c>
      <x:c r="G5" s="41" t="n">
        <x:f>VLOOKUP($A5,'02_征信特征'!$A$5:$J$204,4,FALSE)</x:f>
        <x:v>0.181</x:v>
      </x:c>
      <x:c r="H5" s="40" t="n">
        <x:f>VLOOKUP($A5,'02_征信特征'!$A$5:$J$204,5,FALSE)</x:f>
        <x:v>0</x:v>
      </x:c>
      <x:c r="I5" s="40" t="n">
        <x:f>VLOOKUP($A5,'02_征信特征'!$A$5:$J$204,6,FALSE)</x:f>
        <x:v>0</x:v>
      </x:c>
      <x:c r="J5" s="40" t="n">
        <x:f>VLOOKUP($A5,'02_征信特征'!$A$5:$J$204,7,FALSE)</x:f>
        <x:v>0</x:v>
      </x:c>
      <x:c r="K5" s="40" t="n">
        <x:f>VLOOKUP($A5,'02_征信特征'!$A$5:$J$204,8,FALSE)</x:f>
        <x:v>2</x:v>
      </x:c>
      <x:c r="L5" s="37" t="str">
        <x:f>VLOOKUP($A5,'02_征信特征'!$A$5:$J$204,9,FALSE)</x:f>
        <x:v>N</x:v>
      </x:c>
      <x:c r="M5" s="37" t="str">
        <x:f>VLOOKUP($A5,'03_决策日志'!$A$5:$G$204,4,FALSE)</x:f>
        <x:v>PASS</x:v>
      </x:c>
      <x:c r="N5" s="37" t="str">
        <x:f>IFERROR(VLOOKUP($A5,'04_人工审核'!$A$5:$H$57,6,FALSE),"NOT_REQUIRED")</x:f>
        <x:v>NOT_REQUIRED</x:v>
      </x:c>
      <x:c r="O5" s="37" t="str">
        <x:f>IFERROR(VLOOKUP($A5,'05_贷后表现'!$A$5:$J$137,2,FALSE),"N")</x:f>
        <x:v>Y</x:v>
      </x:c>
      <x:c r="P5" s="37" t="str">
        <x:f>IFERROR(VLOOKUP($A5,'05_贷后表现'!$A$5:$J$137,6,FALSE),"")</x:f>
        <x:v>N</x:v>
      </x:c>
      <x:c r="Q5" s="37" t="str">
        <x:f>IFERROR(VLOOKUP($A5,'05_贷后表现'!$A$5:$J$137,7,FALSE),"")</x:f>
        <x:v>N</x:v>
      </x:c>
      <x:c r="R5" s="40" t="n">
        <x:f>IFERROR(VLOOKUP($A5,'05_贷后表现'!$A$5:$J$137,8,FALSE),"")</x:f>
        <x:v>12</x:v>
      </x:c>
      <x:c r="S5" s="34" t="str">
        <x:f>IF(F5&lt;500,"REJECT",IF(OR(I5&gt;=2,J5&gt;60),"REJECT",IF(F5&lt;560,"REVIEW",IF(G5="","REVIEW",IF(AND(L5&lt;&gt;"Y",G5&gt;0.7),"REVIEW","PASS")))))</x:f>
        <x:v>PASS</x:v>
      </x:c>
      <x:c r="T5" s="34" t="str">
        <x:f>M5&amp;"→"&amp;S5</x:f>
        <x:v>PASS→PASS</x:v>
      </x:c>
    </x:row>
    <x:row r="6">
      <x:c r="A6" s="42" t="str">
        <x:v>APP2025000002</x:v>
      </x:c>
      <x:c r="B6" s="43" t="n">
        <x:f>VLOOKUP($A6,'01_申请数据'!$A$5:$L$204,3,FALSE)</x:f>
        <x:v>45751.52291666667</x:v>
      </x:c>
      <x:c r="C6" s="44" t="n">
        <x:f>VLOOKUP($A6,'01_申请数据'!$A$5:$L$204,5,FALSE)</x:f>
        <x:v>10000</x:v>
      </x:c>
      <x:c r="D6" s="45" t="n">
        <x:f>VLOOKUP($A6,'01_申请数据'!$A$5:$L$204,6,FALSE)</x:f>
        <x:v>18</x:v>
      </x:c>
      <x:c r="E6" s="44" t="n">
        <x:f>VLOOKUP($A6,'01_申请数据'!$A$5:$L$204,10,FALSE)</x:f>
        <x:v>20700</x:v>
      </x:c>
      <x:c r="F6" s="45" t="n">
        <x:f>VLOOKUP($A6,'02_征信特征'!$A$5:$J$204,3,FALSE)</x:f>
        <x:v>635</x:v>
      </x:c>
      <x:c r="G6" s="46" t="n">
        <x:f>VLOOKUP($A6,'02_征信特征'!$A$5:$J$204,4,FALSE)</x:f>
        <x:v>0.793</x:v>
      </x:c>
      <x:c r="H6" s="45" t="n">
        <x:f>VLOOKUP($A6,'02_征信特征'!$A$5:$J$204,5,FALSE)</x:f>
        <x:v>0</x:v>
      </x:c>
      <x:c r="I6" s="45" t="n">
        <x:f>VLOOKUP($A6,'02_征信特征'!$A$5:$J$204,6,FALSE)</x:f>
        <x:v>0</x:v>
      </x:c>
      <x:c r="J6" s="45" t="n">
        <x:f>VLOOKUP($A6,'02_征信特征'!$A$5:$J$204,7,FALSE)</x:f>
        <x:v>0</x:v>
      </x:c>
      <x:c r="K6" s="45" t="n">
        <x:f>VLOOKUP($A6,'02_征信特征'!$A$5:$J$204,8,FALSE)</x:f>
        <x:v>8</x:v>
      </x:c>
      <x:c r="L6" s="42" t="str">
        <x:f>VLOOKUP($A6,'02_征信特征'!$A$5:$J$204,9,FALSE)</x:f>
        <x:v>Y</x:v>
      </x:c>
      <x:c r="M6" s="42" t="str">
        <x:f>VLOOKUP($A6,'03_决策日志'!$A$5:$G$204,4,FALSE)</x:f>
        <x:v>PASS</x:v>
      </x:c>
      <x:c r="N6" s="42" t="str">
        <x:f>IFERROR(VLOOKUP($A6,'04_人工审核'!$A$5:$H$57,6,FALSE),"NOT_REQUIRED")</x:f>
        <x:v>NOT_REQUIRED</x:v>
      </x:c>
      <x:c r="O6" s="42" t="str">
        <x:f>IFERROR(VLOOKUP($A6,'05_贷后表现'!$A$5:$J$137,2,FALSE),"N")</x:f>
        <x:v>Y</x:v>
      </x:c>
      <x:c r="P6" s="42" t="str">
        <x:f>IFERROR(VLOOKUP($A6,'05_贷后表现'!$A$5:$J$137,6,FALSE),"")</x:f>
        <x:v>N</x:v>
      </x:c>
      <x:c r="Q6" s="42" t="str">
        <x:f>IFERROR(VLOOKUP($A6,'05_贷后表现'!$A$5:$J$137,7,FALSE),"")</x:f>
        <x:v>N</x:v>
      </x:c>
      <x:c r="R6" s="45" t="n">
        <x:f>IFERROR(VLOOKUP($A6,'05_贷后表现'!$A$5:$J$137,8,FALSE),"")</x:f>
        <x:v>7</x:v>
      </x:c>
      <x:c r="S6" s="35" t="str">
        <x:f>IF(F6&lt;500,"REJECT",IF(OR(I6&gt;=2,J6&gt;60),"REJECT",IF(F6&lt;560,"REVIEW",IF(G6="","REVIEW",IF(AND(L6&lt;&gt;"Y",G6&gt;0.7),"REVIEW","PASS")))))</x:f>
        <x:v>PASS</x:v>
      </x:c>
      <x:c r="T6" s="35" t="str">
        <x:f>M6&amp;"→"&amp;S6</x:f>
        <x:v>PASS→PASS</x:v>
      </x:c>
    </x:row>
    <x:row r="7">
      <x:c r="A7" s="42" t="str">
        <x:v>APP2025000003</x:v>
      </x:c>
      <x:c r="B7" s="43" t="n">
        <x:f>VLOOKUP($A7,'01_申请数据'!$A$5:$L$204,3,FALSE)</x:f>
        <x:v>45722.5375</x:v>
      </x:c>
      <x:c r="C7" s="44" t="n">
        <x:f>VLOOKUP($A7,'01_申请数据'!$A$5:$L$204,5,FALSE)</x:f>
        <x:v>14000</x:v>
      </x:c>
      <x:c r="D7" s="45" t="n">
        <x:f>VLOOKUP($A7,'01_申请数据'!$A$5:$L$204,6,FALSE)</x:f>
        <x:v>36</x:v>
      </x:c>
      <x:c r="E7" s="44" t="n">
        <x:f>VLOOKUP($A7,'01_申请数据'!$A$5:$L$204,10,FALSE)</x:f>
        <x:v>19700</x:v>
      </x:c>
      <x:c r="F7" s="45" t="n">
        <x:f>VLOOKUP($A7,'02_征信特征'!$A$5:$J$204,3,FALSE)</x:f>
        <x:v>571</x:v>
      </x:c>
      <x:c r="G7" s="46" t="n">
        <x:f>VLOOKUP($A7,'02_征信特征'!$A$5:$J$204,4,FALSE)</x:f>
        <x:v>0.985</x:v>
      </x:c>
      <x:c r="H7" s="45" t="n">
        <x:f>VLOOKUP($A7,'02_征信特征'!$A$5:$J$204,5,FALSE)</x:f>
        <x:v>1</x:v>
      </x:c>
      <x:c r="I7" s="45" t="n">
        <x:f>VLOOKUP($A7,'02_征信特征'!$A$5:$J$204,6,FALSE)</x:f>
        <x:v>2</x:v>
      </x:c>
      <x:c r="J7" s="45" t="n">
        <x:f>VLOOKUP($A7,'02_征信特征'!$A$5:$J$204,7,FALSE)</x:f>
        <x:v>57</x:v>
      </x:c>
      <x:c r="K7" s="45" t="n">
        <x:f>VLOOKUP($A7,'02_征信特征'!$A$5:$J$204,8,FALSE)</x:f>
        <x:v>10</x:v>
      </x:c>
      <x:c r="L7" s="42" t="str">
        <x:f>VLOOKUP($A7,'02_征信特征'!$A$5:$J$204,9,FALSE)</x:f>
        <x:v>N</x:v>
      </x:c>
      <x:c r="M7" s="42" t="str">
        <x:f>VLOOKUP($A7,'03_决策日志'!$A$5:$G$204,4,FALSE)</x:f>
        <x:v>REVIEW</x:v>
      </x:c>
      <x:c r="N7" s="42" t="str">
        <x:f>IFERROR(VLOOKUP($A7,'04_人工审核'!$A$5:$H$57,6,FALSE),"NOT_REQUIRED")</x:f>
        <x:v>DECLINE</x:v>
      </x:c>
      <x:c r="O7" s="42" t="str">
        <x:f>IFERROR(VLOOKUP($A7,'05_贷后表现'!$A$5:$J$137,2,FALSE),"N")</x:f>
        <x:v>N</x:v>
      </x:c>
      <x:c r="P7" s="42" t="str">
        <x:f>IFERROR(VLOOKUP($A7,'05_贷后表现'!$A$5:$J$137,6,FALSE),"")</x:f>
      </x:c>
      <x:c r="Q7" s="42" t="str">
        <x:f>IFERROR(VLOOKUP($A7,'05_贷后表现'!$A$5:$J$137,7,FALSE),"")</x:f>
      </x:c>
      <x:c r="R7" s="45" t="str">
        <x:f>IFERROR(VLOOKUP($A7,'05_贷后表现'!$A$5:$J$137,8,FALSE),"")</x:f>
      </x:c>
      <x:c r="S7" s="35" t="str">
        <x:f>IF(F7&lt;500,"REJECT",IF(OR(I7&gt;=2,J7&gt;60),"REJECT",IF(F7&lt;560,"REVIEW",IF(G7="","REVIEW",IF(AND(L7&lt;&gt;"Y",G7&gt;0.7),"REVIEW","PASS")))))</x:f>
        <x:v>REJECT</x:v>
      </x:c>
      <x:c r="T7" s="35" t="str">
        <x:f>M7&amp;"→"&amp;S7</x:f>
        <x:v>REVIEW→REJECT</x:v>
      </x:c>
    </x:row>
    <x:row r="8">
      <x:c r="A8" s="42" t="str">
        <x:v>APP2025000004</x:v>
      </x:c>
      <x:c r="B8" s="43" t="n">
        <x:f>VLOOKUP($A8,'01_申请数据'!$A$5:$L$204,3,FALSE)</x:f>
        <x:v>45737.38125</x:v>
      </x:c>
      <x:c r="C8" s="44" t="n">
        <x:f>VLOOKUP($A8,'01_申请数据'!$A$5:$L$204,5,FALSE)</x:f>
        <x:v>32000</x:v>
      </x:c>
      <x:c r="D8" s="45" t="n">
        <x:f>VLOOKUP($A8,'01_申请数据'!$A$5:$L$204,6,FALSE)</x:f>
        <x:v>24</x:v>
      </x:c>
      <x:c r="E8" s="44" t="n">
        <x:f>VLOOKUP($A8,'01_申请数据'!$A$5:$L$204,10,FALSE)</x:f>
        <x:v>14200</x:v>
      </x:c>
      <x:c r="F8" s="45" t="n">
        <x:f>VLOOKUP($A8,'02_征信特征'!$A$5:$J$204,3,FALSE)</x:f>
        <x:v>553</x:v>
      </x:c>
      <x:c r="G8" s="46" t="n">
        <x:f>VLOOKUP($A8,'02_征信特征'!$A$5:$J$204,4,FALSE)</x:f>
        <x:v>0.556</x:v>
      </x:c>
      <x:c r="H8" s="45" t="n">
        <x:f>VLOOKUP($A8,'02_征信特征'!$A$5:$J$204,5,FALSE)</x:f>
        <x:v>4</x:v>
      </x:c>
      <x:c r="I8" s="45" t="n">
        <x:f>VLOOKUP($A8,'02_征信特征'!$A$5:$J$204,6,FALSE)</x:f>
        <x:v>2</x:v>
      </x:c>
      <x:c r="J8" s="45" t="n">
        <x:f>VLOOKUP($A8,'02_征信特征'!$A$5:$J$204,7,FALSE)</x:f>
        <x:v>21</x:v>
      </x:c>
      <x:c r="K8" s="45" t="n">
        <x:f>VLOOKUP($A8,'02_征信特征'!$A$5:$J$204,8,FALSE)</x:f>
        <x:v>3</x:v>
      </x:c>
      <x:c r="L8" s="42" t="str">
        <x:f>VLOOKUP($A8,'02_征信特征'!$A$5:$J$204,9,FALSE)</x:f>
        <x:v>N</x:v>
      </x:c>
      <x:c r="M8" s="42" t="str">
        <x:f>VLOOKUP($A8,'03_决策日志'!$A$5:$G$204,4,FALSE)</x:f>
        <x:v>REVIEW</x:v>
      </x:c>
      <x:c r="N8" s="42" t="str">
        <x:f>IFERROR(VLOOKUP($A8,'04_人工审核'!$A$5:$H$57,6,FALSE),"NOT_REQUIRED")</x:f>
        <x:v>DECLINE</x:v>
      </x:c>
      <x:c r="O8" s="42" t="str">
        <x:f>IFERROR(VLOOKUP($A8,'05_贷后表现'!$A$5:$J$137,2,FALSE),"N")</x:f>
        <x:v>N</x:v>
      </x:c>
      <x:c r="P8" s="42" t="str">
        <x:f>IFERROR(VLOOKUP($A8,'05_贷后表现'!$A$5:$J$137,6,FALSE),"")</x:f>
      </x:c>
      <x:c r="Q8" s="42" t="str">
        <x:f>IFERROR(VLOOKUP($A8,'05_贷后表现'!$A$5:$J$137,7,FALSE),"")</x:f>
      </x:c>
      <x:c r="R8" s="45" t="str">
        <x:f>IFERROR(VLOOKUP($A8,'05_贷后表现'!$A$5:$J$137,8,FALSE),"")</x:f>
      </x:c>
      <x:c r="S8" s="35" t="str">
        <x:f>IF(F8&lt;500,"REJECT",IF(OR(I8&gt;=2,J8&gt;60),"REJECT",IF(F8&lt;560,"REVIEW",IF(G8="","REVIEW",IF(AND(L8&lt;&gt;"Y",G8&gt;0.7),"REVIEW","PASS")))))</x:f>
        <x:v>REJECT</x:v>
      </x:c>
      <x:c r="T8" s="35" t="str">
        <x:f>M8&amp;"→"&amp;S8</x:f>
        <x:v>REVIEW→REJECT</x:v>
      </x:c>
    </x:row>
    <x:row r="9">
      <x:c r="A9" s="42" t="str">
        <x:v>APP2025000005</x:v>
      </x:c>
      <x:c r="B9" s="43" t="n">
        <x:f>VLOOKUP($A9,'01_申请数据'!$A$5:$L$204,3,FALSE)</x:f>
        <x:v>45818.41527777778</x:v>
      </x:c>
      <x:c r="C9" s="44" t="n">
        <x:f>VLOOKUP($A9,'01_申请数据'!$A$5:$L$204,5,FALSE)</x:f>
        <x:v>108000</x:v>
      </x:c>
      <x:c r="D9" s="45" t="n">
        <x:f>VLOOKUP($A9,'01_申请数据'!$A$5:$L$204,6,FALSE)</x:f>
        <x:v>12</x:v>
      </x:c>
      <x:c r="E9" s="44" t="n">
        <x:f>VLOOKUP($A9,'01_申请数据'!$A$5:$L$204,10,FALSE)</x:f>
        <x:v>12800</x:v>
      </x:c>
      <x:c r="F9" s="45" t="n">
        <x:f>VLOOKUP($A9,'02_征信特征'!$A$5:$J$204,3,FALSE)</x:f>
        <x:v>654</x:v>
      </x:c>
      <x:c r="G9" s="46" t="n">
        <x:f>VLOOKUP($A9,'02_征信特征'!$A$5:$J$204,4,FALSE)</x:f>
        <x:v>0.308</x:v>
      </x:c>
      <x:c r="H9" s="45" t="n">
        <x:f>VLOOKUP($A9,'02_征信特征'!$A$5:$J$204,5,FALSE)</x:f>
        <x:v>5</x:v>
      </x:c>
      <x:c r="I9" s="45" t="n">
        <x:f>VLOOKUP($A9,'02_征信特征'!$A$5:$J$204,6,FALSE)</x:f>
        <x:v>0</x:v>
      </x:c>
      <x:c r="J9" s="45" t="n">
        <x:f>VLOOKUP($A9,'02_征信特征'!$A$5:$J$204,7,FALSE)</x:f>
        <x:v>0</x:v>
      </x:c>
      <x:c r="K9" s="45" t="n">
        <x:f>VLOOKUP($A9,'02_征信特征'!$A$5:$J$204,8,FALSE)</x:f>
        <x:v>0</x:v>
      </x:c>
      <x:c r="L9" s="42" t="str">
        <x:f>VLOOKUP($A9,'02_征信特征'!$A$5:$J$204,9,FALSE)</x:f>
        <x:v>Y</x:v>
      </x:c>
      <x:c r="M9" s="42" t="str">
        <x:f>VLOOKUP($A9,'03_决策日志'!$A$5:$G$204,4,FALSE)</x:f>
        <x:v>PASS</x:v>
      </x:c>
      <x:c r="N9" s="42" t="str">
        <x:f>IFERROR(VLOOKUP($A9,'04_人工审核'!$A$5:$H$57,6,FALSE),"NOT_REQUIRED")</x:f>
        <x:v>NOT_REQUIRED</x:v>
      </x:c>
      <x:c r="O9" s="42" t="str">
        <x:f>IFERROR(VLOOKUP($A9,'05_贷后表现'!$A$5:$J$137,2,FALSE),"N")</x:f>
        <x:v>Y</x:v>
      </x:c>
      <x:c r="P9" s="42" t="str">
        <x:f>IFERROR(VLOOKUP($A9,'05_贷后表现'!$A$5:$J$137,6,FALSE),"")</x:f>
        <x:v>N</x:v>
      </x:c>
      <x:c r="Q9" s="42" t="str">
        <x:f>IFERROR(VLOOKUP($A9,'05_贷后表现'!$A$5:$J$137,7,FALSE),"")</x:f>
        <x:v>N</x:v>
      </x:c>
      <x:c r="R9" s="45" t="n">
        <x:f>IFERROR(VLOOKUP($A9,'05_贷后表现'!$A$5:$J$137,8,FALSE),"")</x:f>
        <x:v>14</x:v>
      </x:c>
      <x:c r="S9" s="35" t="str">
        <x:f>IF(F9&lt;500,"REJECT",IF(OR(I9&gt;=2,J9&gt;60),"REJECT",IF(F9&lt;560,"REVIEW",IF(G9="","REVIEW",IF(AND(L9&lt;&gt;"Y",G9&gt;0.7),"REVIEW","PASS")))))</x:f>
        <x:v>PASS</x:v>
      </x:c>
      <x:c r="T9" s="35" t="str">
        <x:f>M9&amp;"→"&amp;S9</x:f>
        <x:v>PASS→PASS</x:v>
      </x:c>
    </x:row>
    <x:row r="10">
      <x:c r="A10" s="42" t="str">
        <x:v>APP2025000006</x:v>
      </x:c>
      <x:c r="B10" s="43" t="n">
        <x:f>VLOOKUP($A10,'01_申请数据'!$A$5:$L$204,3,FALSE)</x:f>
        <x:v>45778.501388888886</x:v>
      </x:c>
      <x:c r="C10" s="44" t="n">
        <x:f>VLOOKUP($A10,'01_申请数据'!$A$5:$L$204,5,FALSE)</x:f>
        <x:v>76000</x:v>
      </x:c>
      <x:c r="D10" s="45" t="n">
        <x:f>VLOOKUP($A10,'01_申请数据'!$A$5:$L$204,6,FALSE)</x:f>
        <x:v>18</x:v>
      </x:c>
      <x:c r="E10" s="44" t="n">
        <x:f>VLOOKUP($A10,'01_申请数据'!$A$5:$L$204,10,FALSE)</x:f>
        <x:v>15300</x:v>
      </x:c>
      <x:c r="F10" s="45" t="n">
        <x:f>VLOOKUP($A10,'02_征信特征'!$A$5:$J$204,3,FALSE)</x:f>
        <x:v>631</x:v>
      </x:c>
      <x:c r="G10" s="46" t="n">
        <x:f>VLOOKUP($A10,'02_征信特征'!$A$5:$J$204,4,FALSE)</x:f>
        <x:v>0.473</x:v>
      </x:c>
      <x:c r="H10" s="45" t="n">
        <x:f>VLOOKUP($A10,'02_征信特征'!$A$5:$J$204,5,FALSE)</x:f>
        <x:v>5</x:v>
      </x:c>
      <x:c r="I10" s="45" t="n">
        <x:f>VLOOKUP($A10,'02_征信特征'!$A$5:$J$204,6,FALSE)</x:f>
        <x:v>0</x:v>
      </x:c>
      <x:c r="J10" s="45" t="n">
        <x:f>VLOOKUP($A10,'02_征信特征'!$A$5:$J$204,7,FALSE)</x:f>
        <x:v>0</x:v>
      </x:c>
      <x:c r="K10" s="45" t="n">
        <x:f>VLOOKUP($A10,'02_征信特征'!$A$5:$J$204,8,FALSE)</x:f>
        <x:v>10</x:v>
      </x:c>
      <x:c r="L10" s="42" t="str">
        <x:f>VLOOKUP($A10,'02_征信特征'!$A$5:$J$204,9,FALSE)</x:f>
        <x:v>N</x:v>
      </x:c>
      <x:c r="M10" s="42" t="str">
        <x:f>VLOOKUP($A10,'03_决策日志'!$A$5:$G$204,4,FALSE)</x:f>
        <x:v>PASS</x:v>
      </x:c>
      <x:c r="N10" s="42" t="str">
        <x:f>IFERROR(VLOOKUP($A10,'04_人工审核'!$A$5:$H$57,6,FALSE),"NOT_REQUIRED")</x:f>
        <x:v>NOT_REQUIRED</x:v>
      </x:c>
      <x:c r="O10" s="42" t="str">
        <x:f>IFERROR(VLOOKUP($A10,'05_贷后表现'!$A$5:$J$137,2,FALSE),"N")</x:f>
        <x:v>Y</x:v>
      </x:c>
      <x:c r="P10" s="42" t="str">
        <x:f>IFERROR(VLOOKUP($A10,'05_贷后表现'!$A$5:$J$137,6,FALSE),"")</x:f>
        <x:v>N</x:v>
      </x:c>
      <x:c r="Q10" s="42" t="str">
        <x:f>IFERROR(VLOOKUP($A10,'05_贷后表现'!$A$5:$J$137,7,FALSE),"")</x:f>
        <x:v>N</x:v>
      </x:c>
      <x:c r="R10" s="45" t="n">
        <x:f>IFERROR(VLOOKUP($A10,'05_贷后表现'!$A$5:$J$137,8,FALSE),"")</x:f>
        <x:v>9</x:v>
      </x:c>
      <x:c r="S10" s="35" t="str">
        <x:f>IF(F10&lt;500,"REJECT",IF(OR(I10&gt;=2,J10&gt;60),"REJECT",IF(F10&lt;560,"REVIEW",IF(G10="","REVIEW",IF(AND(L10&lt;&gt;"Y",G10&gt;0.7),"REVIEW","PASS")))))</x:f>
        <x:v>PASS</x:v>
      </x:c>
      <x:c r="T10" s="35" t="str">
        <x:f>M10&amp;"→"&amp;S10</x:f>
        <x:v>PASS→PASS</x:v>
      </x:c>
    </x:row>
    <x:row r="11">
      <x:c r="A11" s="42" t="str">
        <x:v>APP2025000007</x:v>
      </x:c>
      <x:c r="B11" s="43" t="n">
        <x:f>VLOOKUP($A11,'01_申请数据'!$A$5:$L$204,3,FALSE)</x:f>
        <x:v>45749.535416666666</x:v>
      </x:c>
      <x:c r="C11" s="44" t="n">
        <x:f>VLOOKUP($A11,'01_申请数据'!$A$5:$L$204,5,FALSE)</x:f>
        <x:v>35000</x:v>
      </x:c>
      <x:c r="D11" s="45" t="n">
        <x:f>VLOOKUP($A11,'01_申请数据'!$A$5:$L$204,6,FALSE)</x:f>
        <x:v>6</x:v>
      </x:c>
      <x:c r="E11" s="44" t="n">
        <x:f>VLOOKUP($A11,'01_申请数据'!$A$5:$L$204,10,FALSE)</x:f>
        <x:v>15500</x:v>
      </x:c>
      <x:c r="F11" s="45" t="n">
        <x:f>VLOOKUP($A11,'02_征信特征'!$A$5:$J$204,3,FALSE)</x:f>
        <x:v>635</x:v>
      </x:c>
      <x:c r="G11" s="46" t="n">
        <x:f>VLOOKUP($A11,'02_征信特征'!$A$5:$J$204,4,FALSE)</x:f>
        <x:v>0.777</x:v>
      </x:c>
      <x:c r="H11" s="45" t="n">
        <x:f>VLOOKUP($A11,'02_征信特征'!$A$5:$J$204,5,FALSE)</x:f>
        <x:v>1</x:v>
      </x:c>
      <x:c r="I11" s="45" t="n">
        <x:f>VLOOKUP($A11,'02_征信特征'!$A$5:$J$204,6,FALSE)</x:f>
        <x:v>0</x:v>
      </x:c>
      <x:c r="J11" s="45" t="n">
        <x:f>VLOOKUP($A11,'02_征信特征'!$A$5:$J$204,7,FALSE)</x:f>
        <x:v>0</x:v>
      </x:c>
      <x:c r="K11" s="45" t="n">
        <x:f>VLOOKUP($A11,'02_征信特征'!$A$5:$J$204,8,FALSE)</x:f>
        <x:v>10</x:v>
      </x:c>
      <x:c r="L11" s="42" t="str">
        <x:f>VLOOKUP($A11,'02_征信特征'!$A$5:$J$204,9,FALSE)</x:f>
        <x:v>N</x:v>
      </x:c>
      <x:c r="M11" s="42" t="str">
        <x:f>VLOOKUP($A11,'03_决策日志'!$A$5:$G$204,4,FALSE)</x:f>
        <x:v>PASS</x:v>
      </x:c>
      <x:c r="N11" s="42" t="str">
        <x:f>IFERROR(VLOOKUP($A11,'04_人工审核'!$A$5:$H$57,6,FALSE),"NOT_REQUIRED")</x:f>
        <x:v>NOT_REQUIRED</x:v>
      </x:c>
      <x:c r="O11" s="42" t="str">
        <x:f>IFERROR(VLOOKUP($A11,'05_贷后表现'!$A$5:$J$137,2,FALSE),"N")</x:f>
        <x:v>Y</x:v>
      </x:c>
      <x:c r="P11" s="42" t="str">
        <x:f>IFERROR(VLOOKUP($A11,'05_贷后表现'!$A$5:$J$137,6,FALSE),"")</x:f>
        <x:v>N</x:v>
      </x:c>
      <x:c r="Q11" s="42" t="str">
        <x:f>IFERROR(VLOOKUP($A11,'05_贷后表现'!$A$5:$J$137,7,FALSE),"")</x:f>
        <x:v>N</x:v>
      </x:c>
      <x:c r="R11" s="45" t="n">
        <x:f>IFERROR(VLOOKUP($A11,'05_贷后表现'!$A$5:$J$137,8,FALSE),"")</x:f>
        <x:v>6</x:v>
      </x:c>
      <x:c r="S11" s="35" t="str">
        <x:f>IF(F11&lt;500,"REJECT",IF(OR(I11&gt;=2,J11&gt;60),"REJECT",IF(F11&lt;560,"REVIEW",IF(G11="","REVIEW",IF(AND(L11&lt;&gt;"Y",G11&gt;0.7),"REVIEW","PASS")))))</x:f>
        <x:v>REVIEW</x:v>
      </x:c>
      <x:c r="T11" s="35" t="str">
        <x:f>M11&amp;"→"&amp;S11</x:f>
        <x:v>PASS→REVIEW</x:v>
      </x:c>
    </x:row>
    <x:row r="12">
      <x:c r="A12" s="42" t="str">
        <x:v>APP2025000008</x:v>
      </x:c>
      <x:c r="B12" s="43" t="n">
        <x:f>VLOOKUP($A12,'01_申请数据'!$A$5:$L$204,3,FALSE)</x:f>
        <x:v>45747.52777777778</x:v>
      </x:c>
      <x:c r="C12" s="44" t="n">
        <x:f>VLOOKUP($A12,'01_申请数据'!$A$5:$L$204,5,FALSE)</x:f>
        <x:v>28000</x:v>
      </x:c>
      <x:c r="D12" s="45" t="n">
        <x:f>VLOOKUP($A12,'01_申请数据'!$A$5:$L$204,6,FALSE)</x:f>
        <x:v>24</x:v>
      </x:c>
      <x:c r="E12" s="44" t="n">
        <x:f>VLOOKUP($A12,'01_申请数据'!$A$5:$L$204,10,FALSE)</x:f>
        <x:v>28600</x:v>
      </x:c>
      <x:c r="F12" s="45" t="n">
        <x:f>VLOOKUP($A12,'02_征信特征'!$A$5:$J$204,3,FALSE)</x:f>
        <x:v>666</x:v>
      </x:c>
      <x:c r="G12" s="46" t="n">
        <x:f>VLOOKUP($A12,'02_征信特征'!$A$5:$J$204,4,FALSE)</x:f>
        <x:v>0.742</x:v>
      </x:c>
      <x:c r="H12" s="45" t="n">
        <x:f>VLOOKUP($A12,'02_征信特征'!$A$5:$J$204,5,FALSE)</x:f>
        <x:v>1</x:v>
      </x:c>
      <x:c r="I12" s="45" t="n">
        <x:f>VLOOKUP($A12,'02_征信特征'!$A$5:$J$204,6,FALSE)</x:f>
        <x:v>0</x:v>
      </x:c>
      <x:c r="J12" s="45" t="n">
        <x:f>VLOOKUP($A12,'02_征信特征'!$A$5:$J$204,7,FALSE)</x:f>
        <x:v>0</x:v>
      </x:c>
      <x:c r="K12" s="45" t="n">
        <x:f>VLOOKUP($A12,'02_征信特征'!$A$5:$J$204,8,FALSE)</x:f>
        <x:v>4</x:v>
      </x:c>
      <x:c r="L12" s="42" t="str">
        <x:f>VLOOKUP($A12,'02_征信特征'!$A$5:$J$204,9,FALSE)</x:f>
        <x:v>N</x:v>
      </x:c>
      <x:c r="M12" s="42" t="str">
        <x:f>VLOOKUP($A12,'03_决策日志'!$A$5:$G$204,4,FALSE)</x:f>
        <x:v>PASS</x:v>
      </x:c>
      <x:c r="N12" s="42" t="str">
        <x:f>IFERROR(VLOOKUP($A12,'04_人工审核'!$A$5:$H$57,6,FALSE),"NOT_REQUIRED")</x:f>
        <x:v>NOT_REQUIRED</x:v>
      </x:c>
      <x:c r="O12" s="42" t="str">
        <x:f>IFERROR(VLOOKUP($A12,'05_贷后表现'!$A$5:$J$137,2,FALSE),"N")</x:f>
        <x:v>Y</x:v>
      </x:c>
      <x:c r="P12" s="42" t="str">
        <x:f>IFERROR(VLOOKUP($A12,'05_贷后表现'!$A$5:$J$137,6,FALSE),"")</x:f>
        <x:v>N</x:v>
      </x:c>
      <x:c r="Q12" s="42" t="str">
        <x:f>IFERROR(VLOOKUP($A12,'05_贷后表现'!$A$5:$J$137,7,FALSE),"")</x:f>
        <x:v>N</x:v>
      </x:c>
      <x:c r="R12" s="45" t="n">
        <x:f>IFERROR(VLOOKUP($A12,'05_贷后表现'!$A$5:$J$137,8,FALSE),"")</x:f>
        <x:v>7</x:v>
      </x:c>
      <x:c r="S12" s="35" t="str">
        <x:f>IF(F12&lt;500,"REJECT",IF(OR(I12&gt;=2,J12&gt;60),"REJECT",IF(F12&lt;560,"REVIEW",IF(G12="","REVIEW",IF(AND(L12&lt;&gt;"Y",G12&gt;0.7),"REVIEW","PASS")))))</x:f>
        <x:v>REVIEW</x:v>
      </x:c>
      <x:c r="T12" s="35" t="str">
        <x:f>M12&amp;"→"&amp;S12</x:f>
        <x:v>PASS→REVIEW</x:v>
      </x:c>
    </x:row>
    <x:row r="13">
      <x:c r="A13" s="42" t="str">
        <x:v>APP2025000009</x:v>
      </x:c>
      <x:c r="B13" s="43" t="n">
        <x:f>VLOOKUP($A13,'01_申请数据'!$A$5:$L$204,3,FALSE)</x:f>
        <x:v>45754.48263888889</x:v>
      </x:c>
      <x:c r="C13" s="44" t="n">
        <x:f>VLOOKUP($A13,'01_申请数据'!$A$5:$L$204,5,FALSE)</x:f>
        <x:v>41000</x:v>
      </x:c>
      <x:c r="D13" s="45" t="n">
        <x:f>VLOOKUP($A13,'01_申请数据'!$A$5:$L$204,6,FALSE)</x:f>
        <x:v>12</x:v>
      </x:c>
      <x:c r="E13" s="44" t="n">
        <x:f>VLOOKUP($A13,'01_申请数据'!$A$5:$L$204,10,FALSE)</x:f>
        <x:v>21500</x:v>
      </x:c>
      <x:c r="F13" s="45" t="n">
        <x:f>VLOOKUP($A13,'02_征信特征'!$A$5:$J$204,3,FALSE)</x:f>
        <x:v>613</x:v>
      </x:c>
      <x:c r="G13" s="46" t="n">
        <x:f>VLOOKUP($A13,'02_征信特征'!$A$5:$J$204,4,FALSE)</x:f>
        <x:v>0.749</x:v>
      </x:c>
      <x:c r="H13" s="45" t="n">
        <x:f>VLOOKUP($A13,'02_征信特征'!$A$5:$J$204,5,FALSE)</x:f>
        <x:v>0</x:v>
      </x:c>
      <x:c r="I13" s="45" t="n">
        <x:f>VLOOKUP($A13,'02_征信特征'!$A$5:$J$204,6,FALSE)</x:f>
        <x:v>0</x:v>
      </x:c>
      <x:c r="J13" s="45" t="n">
        <x:f>VLOOKUP($A13,'02_征信特征'!$A$5:$J$204,7,FALSE)</x:f>
        <x:v>0</x:v>
      </x:c>
      <x:c r="K13" s="45" t="n">
        <x:f>VLOOKUP($A13,'02_征信特征'!$A$5:$J$204,8,FALSE)</x:f>
        <x:v>5</x:v>
      </x:c>
      <x:c r="L13" s="42" t="str">
        <x:f>VLOOKUP($A13,'02_征信特征'!$A$5:$J$204,9,FALSE)</x:f>
        <x:v>N</x:v>
      </x:c>
      <x:c r="M13" s="42" t="str">
        <x:f>VLOOKUP($A13,'03_决策日志'!$A$5:$G$204,4,FALSE)</x:f>
        <x:v>PASS</x:v>
      </x:c>
      <x:c r="N13" s="42" t="str">
        <x:f>IFERROR(VLOOKUP($A13,'04_人工审核'!$A$5:$H$57,6,FALSE),"NOT_REQUIRED")</x:f>
        <x:v>NOT_REQUIRED</x:v>
      </x:c>
      <x:c r="O13" s="42" t="str">
        <x:f>IFERROR(VLOOKUP($A13,'05_贷后表现'!$A$5:$J$137,2,FALSE),"N")</x:f>
        <x:v>Y</x:v>
      </x:c>
      <x:c r="P13" s="42" t="str">
        <x:f>IFERROR(VLOOKUP($A13,'05_贷后表现'!$A$5:$J$137,6,FALSE),"")</x:f>
        <x:v>N</x:v>
      </x:c>
      <x:c r="Q13" s="42" t="str">
        <x:f>IFERROR(VLOOKUP($A13,'05_贷后表现'!$A$5:$J$137,7,FALSE),"")</x:f>
        <x:v>N</x:v>
      </x:c>
      <x:c r="R13" s="45" t="n">
        <x:f>IFERROR(VLOOKUP($A13,'05_贷后表现'!$A$5:$J$137,8,FALSE),"")</x:f>
        <x:v>7</x:v>
      </x:c>
      <x:c r="S13" s="35" t="str">
        <x:f>IF(F13&lt;500,"REJECT",IF(OR(I13&gt;=2,J13&gt;60),"REJECT",IF(F13&lt;560,"REVIEW",IF(G13="","REVIEW",IF(AND(L13&lt;&gt;"Y",G13&gt;0.7),"REVIEW","PASS")))))</x:f>
        <x:v>REVIEW</x:v>
      </x:c>
      <x:c r="T13" s="35" t="str">
        <x:f>M13&amp;"→"&amp;S13</x:f>
        <x:v>PASS→REVIEW</x:v>
      </x:c>
    </x:row>
    <x:row r="14">
      <x:c r="A14" s="42" t="str">
        <x:v>APP2025000010</x:v>
      </x:c>
      <x:c r="B14" s="43" t="n">
        <x:f>VLOOKUP($A14,'01_申请数据'!$A$5:$L$204,3,FALSE)</x:f>
        <x:v>45675.646527777775</x:v>
      </x:c>
      <x:c r="C14" s="44" t="n">
        <x:f>VLOOKUP($A14,'01_申请数据'!$A$5:$L$204,5,FALSE)</x:f>
        <x:v>90000</x:v>
      </x:c>
      <x:c r="D14" s="45" t="n">
        <x:f>VLOOKUP($A14,'01_申请数据'!$A$5:$L$204,6,FALSE)</x:f>
        <x:v>18</x:v>
      </x:c>
      <x:c r="E14" s="44" t="n">
        <x:f>VLOOKUP($A14,'01_申请数据'!$A$5:$L$204,10,FALSE)</x:f>
        <x:v>27600</x:v>
      </x:c>
      <x:c r="F14" s="45" t="n">
        <x:f>VLOOKUP($A14,'02_征信特征'!$A$5:$J$204,3,FALSE)</x:f>
        <x:v>633</x:v>
      </x:c>
      <x:c r="G14" s="46" t="n">
        <x:f>VLOOKUP($A14,'02_征信特征'!$A$5:$J$204,4,FALSE)</x:f>
        <x:v>0.498</x:v>
      </x:c>
      <x:c r="H14" s="45" t="n">
        <x:f>VLOOKUP($A14,'02_征信特征'!$A$5:$J$204,5,FALSE)</x:f>
        <x:v>2</x:v>
      </x:c>
      <x:c r="I14" s="45" t="n">
        <x:f>VLOOKUP($A14,'02_征信特征'!$A$5:$J$204,6,FALSE)</x:f>
        <x:v>2</x:v>
      </x:c>
      <x:c r="J14" s="45" t="n">
        <x:f>VLOOKUP($A14,'02_征信特征'!$A$5:$J$204,7,FALSE)</x:f>
        <x:v>49</x:v>
      </x:c>
      <x:c r="K14" s="45" t="n">
        <x:f>VLOOKUP($A14,'02_征信特征'!$A$5:$J$204,8,FALSE)</x:f>
        <x:v>11</x:v>
      </x:c>
      <x:c r="L14" s="42" t="str">
        <x:f>VLOOKUP($A14,'02_征信特征'!$A$5:$J$204,9,FALSE)</x:f>
        <x:v>N</x:v>
      </x:c>
      <x:c r="M14" s="42" t="str">
        <x:f>VLOOKUP($A14,'03_决策日志'!$A$5:$G$204,4,FALSE)</x:f>
        <x:v>PASS</x:v>
      </x:c>
      <x:c r="N14" s="42" t="str">
        <x:f>IFERROR(VLOOKUP($A14,'04_人工审核'!$A$5:$H$57,6,FALSE),"NOT_REQUIRED")</x:f>
        <x:v>NOT_REQUIRED</x:v>
      </x:c>
      <x:c r="O14" s="42" t="str">
        <x:f>IFERROR(VLOOKUP($A14,'05_贷后表现'!$A$5:$J$137,2,FALSE),"N")</x:f>
        <x:v>Y</x:v>
      </x:c>
      <x:c r="P14" s="42" t="str">
        <x:f>IFERROR(VLOOKUP($A14,'05_贷后表现'!$A$5:$J$137,6,FALSE),"")</x:f>
        <x:v>N</x:v>
      </x:c>
      <x:c r="Q14" s="42" t="str">
        <x:f>IFERROR(VLOOKUP($A14,'05_贷后表现'!$A$5:$J$137,7,FALSE),"")</x:f>
        <x:v>N</x:v>
      </x:c>
      <x:c r="R14" s="45" t="n">
        <x:f>IFERROR(VLOOKUP($A14,'05_贷后表现'!$A$5:$J$137,8,FALSE),"")</x:f>
        <x:v>15</x:v>
      </x:c>
      <x:c r="S14" s="35" t="str">
        <x:f>IF(F14&lt;500,"REJECT",IF(OR(I14&gt;=2,J14&gt;60),"REJECT",IF(F14&lt;560,"REVIEW",IF(G14="","REVIEW",IF(AND(L14&lt;&gt;"Y",G14&gt;0.7),"REVIEW","PASS")))))</x:f>
        <x:v>REJECT</x:v>
      </x:c>
      <x:c r="T14" s="35" t="str">
        <x:f>M14&amp;"→"&amp;S14</x:f>
        <x:v>PASS→REJECT</x:v>
      </x:c>
    </x:row>
    <x:row r="15">
      <x:c r="A15" s="42" t="str">
        <x:v>APP2025000011</x:v>
      </x:c>
      <x:c r="B15" s="43" t="n">
        <x:f>VLOOKUP($A15,'01_申请数据'!$A$5:$L$204,3,FALSE)</x:f>
        <x:v>45746.538194444445</x:v>
      </x:c>
      <x:c r="C15" s="44" t="n">
        <x:f>VLOOKUP($A15,'01_申请数据'!$A$5:$L$204,5,FALSE)</x:f>
        <x:v>83000</x:v>
      </x:c>
      <x:c r="D15" s="45" t="n">
        <x:f>VLOOKUP($A15,'01_申请数据'!$A$5:$L$204,6,FALSE)</x:f>
        <x:v>24</x:v>
      </x:c>
      <x:c r="E15" s="44" t="n">
        <x:f>VLOOKUP($A15,'01_申请数据'!$A$5:$L$204,10,FALSE)</x:f>
        <x:v>10700</x:v>
      </x:c>
      <x:c r="F15" s="45" t="n">
        <x:f>VLOOKUP($A15,'02_征信特征'!$A$5:$J$204,3,FALSE)</x:f>
        <x:v>703</x:v>
      </x:c>
      <x:c r="G15" s="46" t="n">
        <x:f>VLOOKUP($A15,'02_征信特征'!$A$5:$J$204,4,FALSE)</x:f>
        <x:v>0.672</x:v>
      </x:c>
      <x:c r="H15" s="45" t="n">
        <x:f>VLOOKUP($A15,'02_征信特征'!$A$5:$J$204,5,FALSE)</x:f>
        <x:v>3</x:v>
      </x:c>
      <x:c r="I15" s="45" t="n">
        <x:f>VLOOKUP($A15,'02_征信特征'!$A$5:$J$204,6,FALSE)</x:f>
        <x:v>0</x:v>
      </x:c>
      <x:c r="J15" s="45" t="n">
        <x:f>VLOOKUP($A15,'02_征信特征'!$A$5:$J$204,7,FALSE)</x:f>
        <x:v>0</x:v>
      </x:c>
      <x:c r="K15" s="45" t="n">
        <x:f>VLOOKUP($A15,'02_征信特征'!$A$5:$J$204,8,FALSE)</x:f>
        <x:v>10</x:v>
      </x:c>
      <x:c r="L15" s="42" t="str">
        <x:f>VLOOKUP($A15,'02_征信特征'!$A$5:$J$204,9,FALSE)</x:f>
        <x:v>N</x:v>
      </x:c>
      <x:c r="M15" s="42" t="str">
        <x:f>VLOOKUP($A15,'03_决策日志'!$A$5:$G$204,4,FALSE)</x:f>
        <x:v>PASS</x:v>
      </x:c>
      <x:c r="N15" s="42" t="str">
        <x:f>IFERROR(VLOOKUP($A15,'04_人工审核'!$A$5:$H$57,6,FALSE),"NOT_REQUIRED")</x:f>
        <x:v>NOT_REQUIRED</x:v>
      </x:c>
      <x:c r="O15" s="42" t="str">
        <x:f>IFERROR(VLOOKUP($A15,'05_贷后表现'!$A$5:$J$137,2,FALSE),"N")</x:f>
        <x:v>Y</x:v>
      </x:c>
      <x:c r="P15" s="42" t="str">
        <x:f>IFERROR(VLOOKUP($A15,'05_贷后表现'!$A$5:$J$137,6,FALSE),"")</x:f>
        <x:v>N</x:v>
      </x:c>
      <x:c r="Q15" s="42" t="str">
        <x:f>IFERROR(VLOOKUP($A15,'05_贷后表现'!$A$5:$J$137,7,FALSE),"")</x:f>
        <x:v>N</x:v>
      </x:c>
      <x:c r="R15" s="45" t="n">
        <x:f>IFERROR(VLOOKUP($A15,'05_贷后表现'!$A$5:$J$137,8,FALSE),"")</x:f>
        <x:v>12</x:v>
      </x:c>
      <x:c r="S15" s="35" t="str">
        <x:f>IF(F15&lt;500,"REJECT",IF(OR(I15&gt;=2,J15&gt;60),"REJECT",IF(F15&lt;560,"REVIEW",IF(G15="","REVIEW",IF(AND(L15&lt;&gt;"Y",G15&gt;0.7),"REVIEW","PASS")))))</x:f>
        <x:v>PASS</x:v>
      </x:c>
      <x:c r="T15" s="35" t="str">
        <x:f>M15&amp;"→"&amp;S15</x:f>
        <x:v>PASS→PASS</x:v>
      </x:c>
    </x:row>
    <x:row r="16">
      <x:c r="A16" s="42" t="str">
        <x:v>APP2025000012</x:v>
      </x:c>
      <x:c r="B16" s="43" t="n">
        <x:f>VLOOKUP($A16,'01_申请数据'!$A$5:$L$204,3,FALSE)</x:f>
        <x:v>45752.63680555556</x:v>
      </x:c>
      <x:c r="C16" s="44" t="n">
        <x:f>VLOOKUP($A16,'01_申请数据'!$A$5:$L$204,5,FALSE)</x:f>
        <x:v>31000</x:v>
      </x:c>
      <x:c r="D16" s="45" t="n">
        <x:f>VLOOKUP($A16,'01_申请数据'!$A$5:$L$204,6,FALSE)</x:f>
        <x:v>18</x:v>
      </x:c>
      <x:c r="E16" s="44" t="n">
        <x:f>VLOOKUP($A16,'01_申请数据'!$A$5:$L$204,10,FALSE)</x:f>
        <x:v>10400</x:v>
      </x:c>
      <x:c r="F16" s="45" t="n">
        <x:f>VLOOKUP($A16,'02_征信特征'!$A$5:$J$204,3,FALSE)</x:f>
        <x:v>635</x:v>
      </x:c>
      <x:c r="G16" s="46" t="n">
        <x:f>VLOOKUP($A16,'02_征信特征'!$A$5:$J$204,4,FALSE)</x:f>
        <x:v>0.64</x:v>
      </x:c>
      <x:c r="H16" s="45" t="n">
        <x:f>VLOOKUP($A16,'02_征信特征'!$A$5:$J$204,5,FALSE)</x:f>
        <x:v>2</x:v>
      </x:c>
      <x:c r="I16" s="45" t="n">
        <x:f>VLOOKUP($A16,'02_征信特征'!$A$5:$J$204,6,FALSE)</x:f>
        <x:v>0</x:v>
      </x:c>
      <x:c r="J16" s="45" t="n">
        <x:f>VLOOKUP($A16,'02_征信特征'!$A$5:$J$204,7,FALSE)</x:f>
        <x:v>0</x:v>
      </x:c>
      <x:c r="K16" s="45" t="n">
        <x:f>VLOOKUP($A16,'02_征信特征'!$A$5:$J$204,8,FALSE)</x:f>
        <x:v>1</x:v>
      </x:c>
      <x:c r="L16" s="42" t="str">
        <x:f>VLOOKUP($A16,'02_征信特征'!$A$5:$J$204,9,FALSE)</x:f>
        <x:v>N</x:v>
      </x:c>
      <x:c r="M16" s="42" t="str">
        <x:f>VLOOKUP($A16,'03_决策日志'!$A$5:$G$204,4,FALSE)</x:f>
        <x:v>PASS</x:v>
      </x:c>
      <x:c r="N16" s="42" t="str">
        <x:f>IFERROR(VLOOKUP($A16,'04_人工审核'!$A$5:$H$57,6,FALSE),"NOT_REQUIRED")</x:f>
        <x:v>NOT_REQUIRED</x:v>
      </x:c>
      <x:c r="O16" s="42" t="str">
        <x:f>IFERROR(VLOOKUP($A16,'05_贷后表现'!$A$5:$J$137,2,FALSE),"N")</x:f>
        <x:v>Y</x:v>
      </x:c>
      <x:c r="P16" s="42" t="str">
        <x:f>IFERROR(VLOOKUP($A16,'05_贷后表现'!$A$5:$J$137,6,FALSE),"")</x:f>
        <x:v>N</x:v>
      </x:c>
      <x:c r="Q16" s="42" t="str">
        <x:f>IFERROR(VLOOKUP($A16,'05_贷后表现'!$A$5:$J$137,7,FALSE),"")</x:f>
        <x:v>N</x:v>
      </x:c>
      <x:c r="R16" s="45" t="n">
        <x:f>IFERROR(VLOOKUP($A16,'05_贷后表现'!$A$5:$J$137,8,FALSE),"")</x:f>
        <x:v>6</x:v>
      </x:c>
      <x:c r="S16" s="35" t="str">
        <x:f>IF(F16&lt;500,"REJECT",IF(OR(I16&gt;=2,J16&gt;60),"REJECT",IF(F16&lt;560,"REVIEW",IF(G16="","REVIEW",IF(AND(L16&lt;&gt;"Y",G16&gt;0.7),"REVIEW","PASS")))))</x:f>
        <x:v>PASS</x:v>
      </x:c>
      <x:c r="T16" s="35" t="str">
        <x:f>M16&amp;"→"&amp;S16</x:f>
        <x:v>PASS→PASS</x:v>
      </x:c>
    </x:row>
    <x:row r="17">
      <x:c r="A17" s="42" t="str">
        <x:v>APP2025000013</x:v>
      </x:c>
      <x:c r="B17" s="43" t="n">
        <x:f>VLOOKUP($A17,'01_申请数据'!$A$5:$L$204,3,FALSE)</x:f>
        <x:v>45824.618055555555</x:v>
      </x:c>
      <x:c r="C17" s="44" t="n">
        <x:f>VLOOKUP($A17,'01_申请数据'!$A$5:$L$204,5,FALSE)</x:f>
        <x:v>86000</x:v>
      </x:c>
      <x:c r="D17" s="45" t="n">
        <x:f>VLOOKUP($A17,'01_申请数据'!$A$5:$L$204,6,FALSE)</x:f>
        <x:v>24</x:v>
      </x:c>
      <x:c r="E17" s="44" t="n">
        <x:f>VLOOKUP($A17,'01_申请数据'!$A$5:$L$204,10,FALSE)</x:f>
        <x:v>25900</x:v>
      </x:c>
      <x:c r="F17" s="45" t="n">
        <x:f>VLOOKUP($A17,'02_征信特征'!$A$5:$J$204,3,FALSE)</x:f>
        <x:v>597</x:v>
      </x:c>
      <x:c r="G17" s="46" t="n">
        <x:f>VLOOKUP($A17,'02_征信特征'!$A$5:$J$204,4,FALSE)</x:f>
        <x:v>0.772</x:v>
      </x:c>
      <x:c r="H17" s="45" t="n">
        <x:f>VLOOKUP($A17,'02_征信特征'!$A$5:$J$204,5,FALSE)</x:f>
        <x:v>5</x:v>
      </x:c>
      <x:c r="I17" s="45" t="n">
        <x:f>VLOOKUP($A17,'02_征信特征'!$A$5:$J$204,6,FALSE)</x:f>
        <x:v>1</x:v>
      </x:c>
      <x:c r="J17" s="45" t="n">
        <x:f>VLOOKUP($A17,'02_征信特征'!$A$5:$J$204,7,FALSE)</x:f>
        <x:v>43</x:v>
      </x:c>
      <x:c r="K17" s="45" t="n">
        <x:f>VLOOKUP($A17,'02_征信特征'!$A$5:$J$204,8,FALSE)</x:f>
        <x:v>4</x:v>
      </x:c>
      <x:c r="L17" s="42" t="str">
        <x:f>VLOOKUP($A17,'02_征信特征'!$A$5:$J$204,9,FALSE)</x:f>
        <x:v>N</x:v>
      </x:c>
      <x:c r="M17" s="42" t="str">
        <x:f>VLOOKUP($A17,'03_决策日志'!$A$5:$G$204,4,FALSE)</x:f>
        <x:v>PASS</x:v>
      </x:c>
      <x:c r="N17" s="42" t="str">
        <x:f>IFERROR(VLOOKUP($A17,'04_人工审核'!$A$5:$H$57,6,FALSE),"NOT_REQUIRED")</x:f>
        <x:v>NOT_REQUIRED</x:v>
      </x:c>
      <x:c r="O17" s="42" t="str">
        <x:f>IFERROR(VLOOKUP($A17,'05_贷后表现'!$A$5:$J$137,2,FALSE),"N")</x:f>
        <x:v>Y</x:v>
      </x:c>
      <x:c r="P17" s="42" t="str">
        <x:f>IFERROR(VLOOKUP($A17,'05_贷后表现'!$A$5:$J$137,6,FALSE),"")</x:f>
        <x:v>N</x:v>
      </x:c>
      <x:c r="Q17" s="42" t="str">
        <x:f>IFERROR(VLOOKUP($A17,'05_贷后表现'!$A$5:$J$137,7,FALSE),"")</x:f>
        <x:v>N</x:v>
      </x:c>
      <x:c r="R17" s="45" t="n">
        <x:f>IFERROR(VLOOKUP($A17,'05_贷后表现'!$A$5:$J$137,8,FALSE),"")</x:f>
        <x:v>15</x:v>
      </x:c>
      <x:c r="S17" s="35" t="str">
        <x:f>IF(F17&lt;500,"REJECT",IF(OR(I17&gt;=2,J17&gt;60),"REJECT",IF(F17&lt;560,"REVIEW",IF(G17="","REVIEW",IF(AND(L17&lt;&gt;"Y",G17&gt;0.7),"REVIEW","PASS")))))</x:f>
        <x:v>REVIEW</x:v>
      </x:c>
      <x:c r="T17" s="35" t="str">
        <x:f>M17&amp;"→"&amp;S17</x:f>
        <x:v>PASS→REVIEW</x:v>
      </x:c>
    </x:row>
    <x:row r="18">
      <x:c r="A18" s="42" t="str">
        <x:v>APP2025000014</x:v>
      </x:c>
      <x:c r="B18" s="43" t="n">
        <x:f>VLOOKUP($A18,'01_申请数据'!$A$5:$L$204,3,FALSE)</x:f>
        <x:v>45722.67638888889</x:v>
      </x:c>
      <x:c r="C18" s="44" t="n">
        <x:f>VLOOKUP($A18,'01_申请数据'!$A$5:$L$204,5,FALSE)</x:f>
        <x:v>122000</x:v>
      </x:c>
      <x:c r="D18" s="45" t="n">
        <x:f>VLOOKUP($A18,'01_申请数据'!$A$5:$L$204,6,FALSE)</x:f>
        <x:v>18</x:v>
      </x:c>
      <x:c r="E18" s="44" t="n">
        <x:f>VLOOKUP($A18,'01_申请数据'!$A$5:$L$204,10,FALSE)</x:f>
        <x:v>18000</x:v>
      </x:c>
      <x:c r="F18" s="45" t="n">
        <x:f>VLOOKUP($A18,'02_征信特征'!$A$5:$J$204,3,FALSE)</x:f>
        <x:v>590</x:v>
      </x:c>
      <x:c r="G18" s="46" t="n">
        <x:f>VLOOKUP($A18,'02_征信特征'!$A$5:$J$204,4,FALSE)</x:f>
        <x:v>0.182</x:v>
      </x:c>
      <x:c r="H18" s="45" t="n">
        <x:f>VLOOKUP($A18,'02_征信特征'!$A$5:$J$204,5,FALSE)</x:f>
        <x:v>3</x:v>
      </x:c>
      <x:c r="I18" s="45" t="n">
        <x:f>VLOOKUP($A18,'02_征信特征'!$A$5:$J$204,6,FALSE)</x:f>
        <x:v>3</x:v>
      </x:c>
      <x:c r="J18" s="45" t="n">
        <x:f>VLOOKUP($A18,'02_征信特征'!$A$5:$J$204,7,FALSE)</x:f>
        <x:v>137</x:v>
      </x:c>
      <x:c r="K18" s="45" t="n">
        <x:f>VLOOKUP($A18,'02_征信特征'!$A$5:$J$204,8,FALSE)</x:f>
        <x:v>1</x:v>
      </x:c>
      <x:c r="L18" s="42" t="str">
        <x:f>VLOOKUP($A18,'02_征信特征'!$A$5:$J$204,9,FALSE)</x:f>
        <x:v>N</x:v>
      </x:c>
      <x:c r="M18" s="42" t="str">
        <x:f>VLOOKUP($A18,'03_决策日志'!$A$5:$G$204,4,FALSE)</x:f>
        <x:v>REJECT</x:v>
      </x:c>
      <x:c r="N18" s="42" t="str">
        <x:f>IFERROR(VLOOKUP($A18,'04_人工审核'!$A$5:$H$57,6,FALSE),"NOT_REQUIRED")</x:f>
        <x:v>NOT_REQUIRED</x:v>
      </x:c>
      <x:c r="O18" s="42" t="str">
        <x:f>IFERROR(VLOOKUP($A18,'05_贷后表现'!$A$5:$J$137,2,FALSE),"N")</x:f>
        <x:v>N</x:v>
      </x:c>
      <x:c r="P18" s="42" t="str">
        <x:f>IFERROR(VLOOKUP($A18,'05_贷后表现'!$A$5:$J$137,6,FALSE),"")</x:f>
      </x:c>
      <x:c r="Q18" s="42" t="str">
        <x:f>IFERROR(VLOOKUP($A18,'05_贷后表现'!$A$5:$J$137,7,FALSE),"")</x:f>
      </x:c>
      <x:c r="R18" s="45" t="str">
        <x:f>IFERROR(VLOOKUP($A18,'05_贷后表现'!$A$5:$J$137,8,FALSE),"")</x:f>
      </x:c>
      <x:c r="S18" s="35" t="str">
        <x:f>IF(F18&lt;500,"REJECT",IF(OR(I18&gt;=2,J18&gt;60),"REJECT",IF(F18&lt;560,"REVIEW",IF(G18="","REVIEW",IF(AND(L18&lt;&gt;"Y",G18&gt;0.7),"REVIEW","PASS")))))</x:f>
        <x:v>REJECT</x:v>
      </x:c>
      <x:c r="T18" s="35" t="str">
        <x:f>M18&amp;"→"&amp;S18</x:f>
        <x:v>REJECT→REJECT</x:v>
      </x:c>
    </x:row>
    <x:row r="19">
      <x:c r="A19" s="42" t="str">
        <x:v>APP2025000015</x:v>
      </x:c>
      <x:c r="B19" s="43" t="n">
        <x:f>VLOOKUP($A19,'01_申请数据'!$A$5:$L$204,3,FALSE)</x:f>
        <x:v>45737.55486111111</x:v>
      </x:c>
      <x:c r="C19" s="44" t="n">
        <x:f>VLOOKUP($A19,'01_申请数据'!$A$5:$L$204,5,FALSE)</x:f>
        <x:v>13000</x:v>
      </x:c>
      <x:c r="D19" s="45" t="n">
        <x:f>VLOOKUP($A19,'01_申请数据'!$A$5:$L$204,6,FALSE)</x:f>
        <x:v>12</x:v>
      </x:c>
      <x:c r="E19" s="44" t="n">
        <x:f>VLOOKUP($A19,'01_申请数据'!$A$5:$L$204,10,FALSE)</x:f>
        <x:v>23800</x:v>
      </x:c>
      <x:c r="F19" s="45" t="n">
        <x:f>VLOOKUP($A19,'02_征信特征'!$A$5:$J$204,3,FALSE)</x:f>
        <x:v>537</x:v>
      </x:c>
      <x:c r="G19" s="46" t="n">
        <x:f>VLOOKUP($A19,'02_征信特征'!$A$5:$J$204,4,FALSE)</x:f>
        <x:v>0.853</x:v>
      </x:c>
      <x:c r="H19" s="45" t="n">
        <x:f>VLOOKUP($A19,'02_征信特征'!$A$5:$J$204,5,FALSE)</x:f>
        <x:v>5</x:v>
      </x:c>
      <x:c r="I19" s="45" t="n">
        <x:f>VLOOKUP($A19,'02_征信特征'!$A$5:$J$204,6,FALSE)</x:f>
        <x:v>2</x:v>
      </x:c>
      <x:c r="J19" s="45" t="n">
        <x:f>VLOOKUP($A19,'02_征信特征'!$A$5:$J$204,7,FALSE)</x:f>
        <x:v>26</x:v>
      </x:c>
      <x:c r="K19" s="45" t="n">
        <x:f>VLOOKUP($A19,'02_征信特征'!$A$5:$J$204,8,FALSE)</x:f>
        <x:v>1</x:v>
      </x:c>
      <x:c r="L19" s="42" t="str">
        <x:f>VLOOKUP($A19,'02_征信特征'!$A$5:$J$204,9,FALSE)</x:f>
        <x:v>N</x:v>
      </x:c>
      <x:c r="M19" s="42" t="str">
        <x:f>VLOOKUP($A19,'03_决策日志'!$A$5:$G$204,4,FALSE)</x:f>
        <x:v>REVIEW</x:v>
      </x:c>
      <x:c r="N19" s="42" t="str">
        <x:f>IFERROR(VLOOKUP($A19,'04_人工审核'!$A$5:$H$57,6,FALSE),"NOT_REQUIRED")</x:f>
        <x:v>APPROVE</x:v>
      </x:c>
      <x:c r="O19" s="42" t="str">
        <x:f>IFERROR(VLOOKUP($A19,'05_贷后表现'!$A$5:$J$137,2,FALSE),"N")</x:f>
        <x:v>Y</x:v>
      </x:c>
      <x:c r="P19" s="42" t="str">
        <x:f>IFERROR(VLOOKUP($A19,'05_贷后表现'!$A$5:$J$137,6,FALSE),"")</x:f>
        <x:v>Y</x:v>
      </x:c>
      <x:c r="Q19" s="42" t="str">
        <x:f>IFERROR(VLOOKUP($A19,'05_贷后表现'!$A$5:$J$137,7,FALSE),"")</x:f>
        <x:v>Y</x:v>
      </x:c>
      <x:c r="R19" s="45" t="n">
        <x:f>IFERROR(VLOOKUP($A19,'05_贷后表现'!$A$5:$J$137,8,FALSE),"")</x:f>
        <x:v>13</x:v>
      </x:c>
      <x:c r="S19" s="35" t="str">
        <x:f>IF(F19&lt;500,"REJECT",IF(OR(I19&gt;=2,J19&gt;60),"REJECT",IF(F19&lt;560,"REVIEW",IF(G19="","REVIEW",IF(AND(L19&lt;&gt;"Y",G19&gt;0.7),"REVIEW","PASS")))))</x:f>
        <x:v>REJECT</x:v>
      </x:c>
      <x:c r="T19" s="35" t="str">
        <x:f>M19&amp;"→"&amp;S19</x:f>
        <x:v>REVIEW→REJECT</x:v>
      </x:c>
    </x:row>
    <x:row r="20">
      <x:c r="A20" s="42" t="str">
        <x:v>APP2025000016</x:v>
      </x:c>
      <x:c r="B20" s="43" t="n">
        <x:f>VLOOKUP($A20,'01_申请数据'!$A$5:$L$204,3,FALSE)</x:f>
        <x:v>45789.57847222222</x:v>
      </x:c>
      <x:c r="C20" s="44" t="n">
        <x:f>VLOOKUP($A20,'01_申请数据'!$A$5:$L$204,5,FALSE)</x:f>
        <x:v>57000</x:v>
      </x:c>
      <x:c r="D20" s="45" t="n">
        <x:f>VLOOKUP($A20,'01_申请数据'!$A$5:$L$204,6,FALSE)</x:f>
        <x:v>24</x:v>
      </x:c>
      <x:c r="E20" s="44" t="n">
        <x:f>VLOOKUP($A20,'01_申请数据'!$A$5:$L$204,10,FALSE)</x:f>
        <x:v>23700</x:v>
      </x:c>
      <x:c r="F20" s="45" t="n">
        <x:f>VLOOKUP($A20,'02_征信特征'!$A$5:$J$204,3,FALSE)</x:f>
        <x:v>631</x:v>
      </x:c>
      <x:c r="G20" s="46" t="n">
        <x:f>VLOOKUP($A20,'02_征信特征'!$A$5:$J$204,4,FALSE)</x:f>
        <x:v>0.744</x:v>
      </x:c>
      <x:c r="H20" s="45" t="n">
        <x:f>VLOOKUP($A20,'02_征信特征'!$A$5:$J$204,5,FALSE)</x:f>
        <x:v>0</x:v>
      </x:c>
      <x:c r="I20" s="45" t="n">
        <x:f>VLOOKUP($A20,'02_征信特征'!$A$5:$J$204,6,FALSE)</x:f>
        <x:v>0</x:v>
      </x:c>
      <x:c r="J20" s="45" t="n">
        <x:f>VLOOKUP($A20,'02_征信特征'!$A$5:$J$204,7,FALSE)</x:f>
        <x:v>0</x:v>
      </x:c>
      <x:c r="K20" s="45" t="n">
        <x:f>VLOOKUP($A20,'02_征信特征'!$A$5:$J$204,8,FALSE)</x:f>
        <x:v>7</x:v>
      </x:c>
      <x:c r="L20" s="42" t="str">
        <x:f>VLOOKUP($A20,'02_征信特征'!$A$5:$J$204,9,FALSE)</x:f>
        <x:v>Y</x:v>
      </x:c>
      <x:c r="M20" s="42" t="str">
        <x:f>VLOOKUP($A20,'03_决策日志'!$A$5:$G$204,4,FALSE)</x:f>
        <x:v>PASS</x:v>
      </x:c>
      <x:c r="N20" s="42" t="str">
        <x:f>IFERROR(VLOOKUP($A20,'04_人工审核'!$A$5:$H$57,6,FALSE),"NOT_REQUIRED")</x:f>
        <x:v>NOT_REQUIRED</x:v>
      </x:c>
      <x:c r="O20" s="42" t="str">
        <x:f>IFERROR(VLOOKUP($A20,'05_贷后表现'!$A$5:$J$137,2,FALSE),"N")</x:f>
        <x:v>N</x:v>
      </x:c>
      <x:c r="P20" s="42" t="str">
        <x:f>IFERROR(VLOOKUP($A20,'05_贷后表现'!$A$5:$J$137,6,FALSE),"")</x:f>
      </x:c>
      <x:c r="Q20" s="42" t="str">
        <x:f>IFERROR(VLOOKUP($A20,'05_贷后表现'!$A$5:$J$137,7,FALSE),"")</x:f>
      </x:c>
      <x:c r="R20" s="45" t="str">
        <x:f>IFERROR(VLOOKUP($A20,'05_贷后表现'!$A$5:$J$137,8,FALSE),"")</x:f>
      </x:c>
      <x:c r="S20" s="35" t="str">
        <x:f>IF(F20&lt;500,"REJECT",IF(OR(I20&gt;=2,J20&gt;60),"REJECT",IF(F20&lt;560,"REVIEW",IF(G20="","REVIEW",IF(AND(L20&lt;&gt;"Y",G20&gt;0.7),"REVIEW","PASS")))))</x:f>
        <x:v>PASS</x:v>
      </x:c>
      <x:c r="T20" s="35" t="str">
        <x:f>M20&amp;"→"&amp;S20</x:f>
        <x:v>PASS→PASS</x:v>
      </x:c>
    </x:row>
    <x:row r="21">
      <x:c r="A21" s="42" t="str">
        <x:v>APP2025000017</x:v>
      </x:c>
      <x:c r="B21" s="43" t="n">
        <x:f>VLOOKUP($A21,'01_申请数据'!$A$5:$L$204,3,FALSE)</x:f>
        <x:v>45738.41111111111</x:v>
      </x:c>
      <x:c r="C21" s="44" t="n">
        <x:f>VLOOKUP($A21,'01_申请数据'!$A$5:$L$204,5,FALSE)</x:f>
        <x:v>70000</x:v>
      </x:c>
      <x:c r="D21" s="45" t="n">
        <x:f>VLOOKUP($A21,'01_申请数据'!$A$5:$L$204,6,FALSE)</x:f>
        <x:v>12</x:v>
      </x:c>
      <x:c r="E21" s="44" t="n">
        <x:f>VLOOKUP($A21,'01_申请数据'!$A$5:$L$204,10,FALSE)</x:f>
        <x:v>17000</x:v>
      </x:c>
      <x:c r="F21" s="45" t="n">
        <x:f>VLOOKUP($A21,'02_征信特征'!$A$5:$J$204,3,FALSE)</x:f>
        <x:v>587</x:v>
      </x:c>
      <x:c r="G21" s="46" t="n">
        <x:f>VLOOKUP($A21,'02_征信特征'!$A$5:$J$204,4,FALSE)</x:f>
        <x:v>0.885</x:v>
      </x:c>
      <x:c r="H21" s="45" t="n">
        <x:f>VLOOKUP($A21,'02_征信特征'!$A$5:$J$204,5,FALSE)</x:f>
        <x:v>5</x:v>
      </x:c>
      <x:c r="I21" s="45" t="n">
        <x:f>VLOOKUP($A21,'02_征信特征'!$A$5:$J$204,6,FALSE)</x:f>
        <x:v>0</x:v>
      </x:c>
      <x:c r="J21" s="45" t="n">
        <x:f>VLOOKUP($A21,'02_征信特征'!$A$5:$J$204,7,FALSE)</x:f>
        <x:v>0</x:v>
      </x:c>
      <x:c r="K21" s="45" t="n">
        <x:f>VLOOKUP($A21,'02_征信特征'!$A$5:$J$204,8,FALSE)</x:f>
        <x:v>4</x:v>
      </x:c>
      <x:c r="L21" s="42" t="str">
        <x:f>VLOOKUP($A21,'02_征信特征'!$A$5:$J$204,9,FALSE)</x:f>
        <x:v>N</x:v>
      </x:c>
      <x:c r="M21" s="42" t="str">
        <x:f>VLOOKUP($A21,'03_决策日志'!$A$5:$G$204,4,FALSE)</x:f>
        <x:v>REVIEW</x:v>
      </x:c>
      <x:c r="N21" s="42" t="str">
        <x:f>IFERROR(VLOOKUP($A21,'04_人工审核'!$A$5:$H$57,6,FALSE),"NOT_REQUIRED")</x:f>
        <x:v>APPROVE</x:v>
      </x:c>
      <x:c r="O21" s="42" t="str">
        <x:f>IFERROR(VLOOKUP($A21,'05_贷后表现'!$A$5:$J$137,2,FALSE),"N")</x:f>
        <x:v>Y</x:v>
      </x:c>
      <x:c r="P21" s="42" t="str">
        <x:f>IFERROR(VLOOKUP($A21,'05_贷后表现'!$A$5:$J$137,6,FALSE),"")</x:f>
        <x:v>N</x:v>
      </x:c>
      <x:c r="Q21" s="42" t="str">
        <x:f>IFERROR(VLOOKUP($A21,'05_贷后表现'!$A$5:$J$137,7,FALSE),"")</x:f>
        <x:v>N</x:v>
      </x:c>
      <x:c r="R21" s="45" t="n">
        <x:f>IFERROR(VLOOKUP($A21,'05_贷后表现'!$A$5:$J$137,8,FALSE),"")</x:f>
        <x:v>9</x:v>
      </x:c>
      <x:c r="S21" s="35" t="str">
        <x:f>IF(F21&lt;500,"REJECT",IF(OR(I21&gt;=2,J21&gt;60),"REJECT",IF(F21&lt;560,"REVIEW",IF(G21="","REVIEW",IF(AND(L21&lt;&gt;"Y",G21&gt;0.7),"REVIEW","PASS")))))</x:f>
        <x:v>REVIEW</x:v>
      </x:c>
      <x:c r="T21" s="35" t="str">
        <x:f>M21&amp;"→"&amp;S21</x:f>
        <x:v>REVIEW→REVIEW</x:v>
      </x:c>
    </x:row>
    <x:row r="22">
      <x:c r="A22" s="42" t="str">
        <x:v>APP2025000018</x:v>
      </x:c>
      <x:c r="B22" s="43" t="n">
        <x:f>VLOOKUP($A22,'01_申请数据'!$A$5:$L$204,3,FALSE)</x:f>
        <x:v>45704.40972222222</x:v>
      </x:c>
      <x:c r="C22" s="44" t="n">
        <x:f>VLOOKUP($A22,'01_申请数据'!$A$5:$L$204,5,FALSE)</x:f>
        <x:v>74000</x:v>
      </x:c>
      <x:c r="D22" s="45" t="n">
        <x:f>VLOOKUP($A22,'01_申请数据'!$A$5:$L$204,6,FALSE)</x:f>
        <x:v>18</x:v>
      </x:c>
      <x:c r="E22" s="44" t="n">
        <x:f>VLOOKUP($A22,'01_申请数据'!$A$5:$L$204,10,FALSE)</x:f>
        <x:v>16700</x:v>
      </x:c>
      <x:c r="F22" s="45" t="n">
        <x:f>VLOOKUP($A22,'02_征信特征'!$A$5:$J$204,3,FALSE)</x:f>
        <x:v>663</x:v>
      </x:c>
      <x:c r="G22" s="46" t="n">
        <x:f>VLOOKUP($A22,'02_征信特征'!$A$5:$J$204,4,FALSE)</x:f>
        <x:v>0.549</x:v>
      </x:c>
      <x:c r="H22" s="45" t="n">
        <x:f>VLOOKUP($A22,'02_征信特征'!$A$5:$J$204,5,FALSE)</x:f>
        <x:v>2</x:v>
      </x:c>
      <x:c r="I22" s="45" t="n">
        <x:f>VLOOKUP($A22,'02_征信特征'!$A$5:$J$204,6,FALSE)</x:f>
        <x:v>0</x:v>
      </x:c>
      <x:c r="J22" s="45" t="n">
        <x:f>VLOOKUP($A22,'02_征信特征'!$A$5:$J$204,7,FALSE)</x:f>
        <x:v>0</x:v>
      </x:c>
      <x:c r="K22" s="45" t="n">
        <x:f>VLOOKUP($A22,'02_征信特征'!$A$5:$J$204,8,FALSE)</x:f>
        <x:v>4</x:v>
      </x:c>
      <x:c r="L22" s="42" t="str">
        <x:f>VLOOKUP($A22,'02_征信特征'!$A$5:$J$204,9,FALSE)</x:f>
        <x:v>N</x:v>
      </x:c>
      <x:c r="M22" s="42" t="str">
        <x:f>VLOOKUP($A22,'03_决策日志'!$A$5:$G$204,4,FALSE)</x:f>
        <x:v>PASS</x:v>
      </x:c>
      <x:c r="N22" s="42" t="str">
        <x:f>IFERROR(VLOOKUP($A22,'04_人工审核'!$A$5:$H$57,6,FALSE),"NOT_REQUIRED")</x:f>
        <x:v>NOT_REQUIRED</x:v>
      </x:c>
      <x:c r="O22" s="42" t="str">
        <x:f>IFERROR(VLOOKUP($A22,'05_贷后表现'!$A$5:$J$137,2,FALSE),"N")</x:f>
        <x:v>Y</x:v>
      </x:c>
      <x:c r="P22" s="42" t="str">
        <x:f>IFERROR(VLOOKUP($A22,'05_贷后表现'!$A$5:$J$137,6,FALSE),"")</x:f>
        <x:v>N</x:v>
      </x:c>
      <x:c r="Q22" s="42" t="str">
        <x:f>IFERROR(VLOOKUP($A22,'05_贷后表现'!$A$5:$J$137,7,FALSE),"")</x:f>
        <x:v>N</x:v>
      </x:c>
      <x:c r="R22" s="45" t="n">
        <x:f>IFERROR(VLOOKUP($A22,'05_贷后表现'!$A$5:$J$137,8,FALSE),"")</x:f>
        <x:v>7</x:v>
      </x:c>
      <x:c r="S22" s="35" t="str">
        <x:f>IF(F22&lt;500,"REJECT",IF(OR(I22&gt;=2,J22&gt;60),"REJECT",IF(F22&lt;560,"REVIEW",IF(G22="","REVIEW",IF(AND(L22&lt;&gt;"Y",G22&gt;0.7),"REVIEW","PASS")))))</x:f>
        <x:v>PASS</x:v>
      </x:c>
      <x:c r="T22" s="35" t="str">
        <x:f>M22&amp;"→"&amp;S22</x:f>
        <x:v>PASS→PASS</x:v>
      </x:c>
    </x:row>
    <x:row r="23">
      <x:c r="A23" s="42" t="str">
        <x:v>APP2025000019</x:v>
      </x:c>
      <x:c r="B23" s="43" t="n">
        <x:f>VLOOKUP($A23,'01_申请数据'!$A$5:$L$204,3,FALSE)</x:f>
        <x:v>45784.51597222222</x:v>
      </x:c>
      <x:c r="C23" s="44" t="n">
        <x:f>VLOOKUP($A23,'01_申请数据'!$A$5:$L$204,5,FALSE)</x:f>
        <x:v>134000</x:v>
      </x:c>
      <x:c r="D23" s="45" t="n">
        <x:f>VLOOKUP($A23,'01_申请数据'!$A$5:$L$204,6,FALSE)</x:f>
        <x:v>24</x:v>
      </x:c>
      <x:c r="E23" s="44" t="n">
        <x:f>VLOOKUP($A23,'01_申请数据'!$A$5:$L$204,10,FALSE)</x:f>
        <x:v>22700</x:v>
      </x:c>
      <x:c r="F23" s="45" t="n">
        <x:f>VLOOKUP($A23,'02_征信特征'!$A$5:$J$204,3,FALSE)</x:f>
        <x:v>713</x:v>
      </x:c>
      <x:c r="G23" s="46" t="n">
        <x:f>VLOOKUP($A23,'02_征信特征'!$A$5:$J$204,4,FALSE)</x:f>
        <x:v>0.188</x:v>
      </x:c>
      <x:c r="H23" s="45" t="n">
        <x:f>VLOOKUP($A23,'02_征信特征'!$A$5:$J$204,5,FALSE)</x:f>
        <x:v>1</x:v>
      </x:c>
      <x:c r="I23" s="45" t="n">
        <x:f>VLOOKUP($A23,'02_征信特征'!$A$5:$J$204,6,FALSE)</x:f>
        <x:v>0</x:v>
      </x:c>
      <x:c r="J23" s="45" t="n">
        <x:f>VLOOKUP($A23,'02_征信特征'!$A$5:$J$204,7,FALSE)</x:f>
        <x:v>0</x:v>
      </x:c>
      <x:c r="K23" s="45" t="n">
        <x:f>VLOOKUP($A23,'02_征信特征'!$A$5:$J$204,8,FALSE)</x:f>
        <x:v>5</x:v>
      </x:c>
      <x:c r="L23" s="42" t="str">
        <x:f>VLOOKUP($A23,'02_征信特征'!$A$5:$J$204,9,FALSE)</x:f>
        <x:v>Y</x:v>
      </x:c>
      <x:c r="M23" s="42" t="str">
        <x:f>VLOOKUP($A23,'03_决策日志'!$A$5:$G$204,4,FALSE)</x:f>
        <x:v>PASS</x:v>
      </x:c>
      <x:c r="N23" s="42" t="str">
        <x:f>IFERROR(VLOOKUP($A23,'04_人工审核'!$A$5:$H$57,6,FALSE),"NOT_REQUIRED")</x:f>
        <x:v>NOT_REQUIRED</x:v>
      </x:c>
      <x:c r="O23" s="42" t="str">
        <x:f>IFERROR(VLOOKUP($A23,'05_贷后表现'!$A$5:$J$137,2,FALSE),"N")</x:f>
        <x:v>Y</x:v>
      </x:c>
      <x:c r="P23" s="42" t="str">
        <x:f>IFERROR(VLOOKUP($A23,'05_贷后表现'!$A$5:$J$137,6,FALSE),"")</x:f>
        <x:v>N</x:v>
      </x:c>
      <x:c r="Q23" s="42" t="str">
        <x:f>IFERROR(VLOOKUP($A23,'05_贷后表现'!$A$5:$J$137,7,FALSE),"")</x:f>
        <x:v>N</x:v>
      </x:c>
      <x:c r="R23" s="45" t="n">
        <x:f>IFERROR(VLOOKUP($A23,'05_贷后表现'!$A$5:$J$137,8,FALSE),"")</x:f>
        <x:v>14</x:v>
      </x:c>
      <x:c r="S23" s="35" t="str">
        <x:f>IF(F23&lt;500,"REJECT",IF(OR(I23&gt;=2,J23&gt;60),"REJECT",IF(F23&lt;560,"REVIEW",IF(G23="","REVIEW",IF(AND(L23&lt;&gt;"Y",G23&gt;0.7),"REVIEW","PASS")))))</x:f>
        <x:v>PASS</x:v>
      </x:c>
      <x:c r="T23" s="35" t="str">
        <x:f>M23&amp;"→"&amp;S23</x:f>
        <x:v>PASS→PASS</x:v>
      </x:c>
    </x:row>
    <x:row r="24">
      <x:c r="A24" s="42" t="str">
        <x:v>APP2025000020</x:v>
      </x:c>
      <x:c r="B24" s="43" t="n">
        <x:f>VLOOKUP($A24,'01_申请数据'!$A$5:$L$204,3,FALSE)</x:f>
        <x:v>45700.665972222225</x:v>
      </x:c>
      <x:c r="C24" s="44" t="n">
        <x:f>VLOOKUP($A24,'01_申请数据'!$A$5:$L$204,5,FALSE)</x:f>
        <x:v>83000</x:v>
      </x:c>
      <x:c r="D24" s="45" t="n">
        <x:f>VLOOKUP($A24,'01_申请数据'!$A$5:$L$204,6,FALSE)</x:f>
        <x:v>12</x:v>
      </x:c>
      <x:c r="E24" s="44" t="n">
        <x:f>VLOOKUP($A24,'01_申请数据'!$A$5:$L$204,10,FALSE)</x:f>
        <x:v>6400</x:v>
      </x:c>
      <x:c r="F24" s="45" t="n">
        <x:f>VLOOKUP($A24,'02_征信特征'!$A$5:$J$204,3,FALSE)</x:f>
        <x:v>665</x:v>
      </x:c>
      <x:c r="G24" s="46" t="n">
        <x:f>VLOOKUP($A24,'02_征信特征'!$A$5:$J$204,4,FALSE)</x:f>
        <x:v>0.411</x:v>
      </x:c>
      <x:c r="H24" s="45" t="n">
        <x:f>VLOOKUP($A24,'02_征信特征'!$A$5:$J$204,5,FALSE)</x:f>
        <x:v>1</x:v>
      </x:c>
      <x:c r="I24" s="45" t="n">
        <x:f>VLOOKUP($A24,'02_征信特征'!$A$5:$J$204,6,FALSE)</x:f>
        <x:v>0</x:v>
      </x:c>
      <x:c r="J24" s="45" t="n">
        <x:f>VLOOKUP($A24,'02_征信特征'!$A$5:$J$204,7,FALSE)</x:f>
        <x:v>0</x:v>
      </x:c>
      <x:c r="K24" s="45" t="n">
        <x:f>VLOOKUP($A24,'02_征信特征'!$A$5:$J$204,8,FALSE)</x:f>
        <x:v>8</x:v>
      </x:c>
      <x:c r="L24" s="42" t="str">
        <x:f>VLOOKUP($A24,'02_征信特征'!$A$5:$J$204,9,FALSE)</x:f>
        <x:v>N</x:v>
      </x:c>
      <x:c r="M24" s="42" t="str">
        <x:f>VLOOKUP($A24,'03_决策日志'!$A$5:$G$204,4,FALSE)</x:f>
        <x:v>PASS</x:v>
      </x:c>
      <x:c r="N24" s="42" t="str">
        <x:f>IFERROR(VLOOKUP($A24,'04_人工审核'!$A$5:$H$57,6,FALSE),"NOT_REQUIRED")</x:f>
        <x:v>NOT_REQUIRED</x:v>
      </x:c>
      <x:c r="O24" s="42" t="str">
        <x:f>IFERROR(VLOOKUP($A24,'05_贷后表现'!$A$5:$J$137,2,FALSE),"N")</x:f>
        <x:v>Y</x:v>
      </x:c>
      <x:c r="P24" s="42" t="str">
        <x:f>IFERROR(VLOOKUP($A24,'05_贷后表现'!$A$5:$J$137,6,FALSE),"")</x:f>
        <x:v>N</x:v>
      </x:c>
      <x:c r="Q24" s="42" t="str">
        <x:f>IFERROR(VLOOKUP($A24,'05_贷后表现'!$A$5:$J$137,7,FALSE),"")</x:f>
        <x:v>N</x:v>
      </x:c>
      <x:c r="R24" s="45" t="n">
        <x:f>IFERROR(VLOOKUP($A24,'05_贷后表现'!$A$5:$J$137,8,FALSE),"")</x:f>
        <x:v>9</x:v>
      </x:c>
      <x:c r="S24" s="35" t="str">
        <x:f>IF(F24&lt;500,"REJECT",IF(OR(I24&gt;=2,J24&gt;60),"REJECT",IF(F24&lt;560,"REVIEW",IF(G24="","REVIEW",IF(AND(L24&lt;&gt;"Y",G24&gt;0.7),"REVIEW","PASS")))))</x:f>
        <x:v>PASS</x:v>
      </x:c>
      <x:c r="T24" s="35" t="str">
        <x:f>M24&amp;"→"&amp;S24</x:f>
        <x:v>PASS→PASS</x:v>
      </x:c>
    </x:row>
    <x:row r="25">
      <x:c r="A25" s="42" t="str">
        <x:v>APP2025000021</x:v>
      </x:c>
      <x:c r="B25" s="43" t="n">
        <x:f>VLOOKUP($A25,'01_申请数据'!$A$5:$L$204,3,FALSE)</x:f>
        <x:v>45821.51597222222</x:v>
      </x:c>
      <x:c r="C25" s="44" t="n">
        <x:f>VLOOKUP($A25,'01_申请数据'!$A$5:$L$204,5,FALSE)</x:f>
        <x:v>117000</x:v>
      </x:c>
      <x:c r="D25" s="45" t="n">
        <x:f>VLOOKUP($A25,'01_申请数据'!$A$5:$L$204,6,FALSE)</x:f>
        <x:v>18</x:v>
      </x:c>
      <x:c r="E25" s="44" t="n">
        <x:f>VLOOKUP($A25,'01_申请数据'!$A$5:$L$204,10,FALSE)</x:f>
        <x:v>7200</x:v>
      </x:c>
      <x:c r="F25" s="45" t="n">
        <x:f>VLOOKUP($A25,'02_征信特征'!$A$5:$J$204,3,FALSE)</x:f>
        <x:v>706</x:v>
      </x:c>
      <x:c r="G25" s="46" t="n">
        <x:f>VLOOKUP($A25,'02_征信特征'!$A$5:$J$204,4,FALSE)</x:f>
        <x:v>0.364</x:v>
      </x:c>
      <x:c r="H25" s="45" t="n">
        <x:f>VLOOKUP($A25,'02_征信特征'!$A$5:$J$204,5,FALSE)</x:f>
        <x:v>2</x:v>
      </x:c>
      <x:c r="I25" s="45" t="n">
        <x:f>VLOOKUP($A25,'02_征信特征'!$A$5:$J$204,6,FALSE)</x:f>
        <x:v>0</x:v>
      </x:c>
      <x:c r="J25" s="45" t="n">
        <x:f>VLOOKUP($A25,'02_征信特征'!$A$5:$J$204,7,FALSE)</x:f>
        <x:v>0</x:v>
      </x:c>
      <x:c r="K25" s="45" t="n">
        <x:f>VLOOKUP($A25,'02_征信特征'!$A$5:$J$204,8,FALSE)</x:f>
        <x:v>4</x:v>
      </x:c>
      <x:c r="L25" s="42" t="str">
        <x:f>VLOOKUP($A25,'02_征信特征'!$A$5:$J$204,9,FALSE)</x:f>
        <x:v>N</x:v>
      </x:c>
      <x:c r="M25" s="42" t="str">
        <x:f>VLOOKUP($A25,'03_决策日志'!$A$5:$G$204,4,FALSE)</x:f>
        <x:v>PASS</x:v>
      </x:c>
      <x:c r="N25" s="42" t="str">
        <x:f>IFERROR(VLOOKUP($A25,'04_人工审核'!$A$5:$H$57,6,FALSE),"NOT_REQUIRED")</x:f>
        <x:v>NOT_REQUIRED</x:v>
      </x:c>
      <x:c r="O25" s="42" t="str">
        <x:f>IFERROR(VLOOKUP($A25,'05_贷后表现'!$A$5:$J$137,2,FALSE),"N")</x:f>
        <x:v>Y</x:v>
      </x:c>
      <x:c r="P25" s="42" t="str">
        <x:f>IFERROR(VLOOKUP($A25,'05_贷后表现'!$A$5:$J$137,6,FALSE),"")</x:f>
        <x:v>N</x:v>
      </x:c>
      <x:c r="Q25" s="42" t="str">
        <x:f>IFERROR(VLOOKUP($A25,'05_贷后表现'!$A$5:$J$137,7,FALSE),"")</x:f>
        <x:v>N</x:v>
      </x:c>
      <x:c r="R25" s="45" t="n">
        <x:f>IFERROR(VLOOKUP($A25,'05_贷后表现'!$A$5:$J$137,8,FALSE),"")</x:f>
        <x:v>13</x:v>
      </x:c>
      <x:c r="S25" s="35" t="str">
        <x:f>IF(F25&lt;500,"REJECT",IF(OR(I25&gt;=2,J25&gt;60),"REJECT",IF(F25&lt;560,"REVIEW",IF(G25="","REVIEW",IF(AND(L25&lt;&gt;"Y",G25&gt;0.7),"REVIEW","PASS")))))</x:f>
        <x:v>PASS</x:v>
      </x:c>
      <x:c r="T25" s="35" t="str">
        <x:f>M25&amp;"→"&amp;S25</x:f>
        <x:v>PASS→PASS</x:v>
      </x:c>
    </x:row>
    <x:row r="26">
      <x:c r="A26" s="42" t="str">
        <x:v>APP2025000022</x:v>
      </x:c>
      <x:c r="B26" s="43" t="n">
        <x:f>VLOOKUP($A26,'01_申请数据'!$A$5:$L$204,3,FALSE)</x:f>
        <x:v>45834.384722222225</x:v>
      </x:c>
      <x:c r="C26" s="44" t="n">
        <x:f>VLOOKUP($A26,'01_申请数据'!$A$5:$L$204,5,FALSE)</x:f>
        <x:v>115000</x:v>
      </x:c>
      <x:c r="D26" s="45" t="n">
        <x:f>VLOOKUP($A26,'01_申请数据'!$A$5:$L$204,6,FALSE)</x:f>
        <x:v>18</x:v>
      </x:c>
      <x:c r="E26" s="44" t="n">
        <x:f>VLOOKUP($A26,'01_申请数据'!$A$5:$L$204,10,FALSE)</x:f>
        <x:v>20700</x:v>
      </x:c>
      <x:c r="F26" s="45" t="n">
        <x:f>VLOOKUP($A26,'02_征信特征'!$A$5:$J$204,3,FALSE)</x:f>
        <x:v>680</x:v>
      </x:c>
      <x:c r="G26" s="46" t="n">
        <x:f>VLOOKUP($A26,'02_征信特征'!$A$5:$J$204,4,FALSE)</x:f>
        <x:v>0.694</x:v>
      </x:c>
      <x:c r="H26" s="45" t="n">
        <x:f>VLOOKUP($A26,'02_征信特征'!$A$5:$J$204,5,FALSE)</x:f>
        <x:v>0</x:v>
      </x:c>
      <x:c r="I26" s="45" t="n">
        <x:f>VLOOKUP($A26,'02_征信特征'!$A$5:$J$204,6,FALSE)</x:f>
        <x:v>0</x:v>
      </x:c>
      <x:c r="J26" s="45" t="n">
        <x:f>VLOOKUP($A26,'02_征信特征'!$A$5:$J$204,7,FALSE)</x:f>
        <x:v>0</x:v>
      </x:c>
      <x:c r="K26" s="45" t="n">
        <x:f>VLOOKUP($A26,'02_征信特征'!$A$5:$J$204,8,FALSE)</x:f>
        <x:v>7</x:v>
      </x:c>
      <x:c r="L26" s="42" t="str">
        <x:f>VLOOKUP($A26,'02_征信特征'!$A$5:$J$204,9,FALSE)</x:f>
        <x:v>N</x:v>
      </x:c>
      <x:c r="M26" s="42" t="str">
        <x:f>VLOOKUP($A26,'03_决策日志'!$A$5:$G$204,4,FALSE)</x:f>
        <x:v>PASS</x:v>
      </x:c>
      <x:c r="N26" s="42" t="str">
        <x:f>IFERROR(VLOOKUP($A26,'04_人工审核'!$A$5:$H$57,6,FALSE),"NOT_REQUIRED")</x:f>
        <x:v>NOT_REQUIRED</x:v>
      </x:c>
      <x:c r="O26" s="42" t="str">
        <x:f>IFERROR(VLOOKUP($A26,'05_贷后表现'!$A$5:$J$137,2,FALSE),"N")</x:f>
        <x:v>N</x:v>
      </x:c>
      <x:c r="P26" s="42" t="str">
        <x:f>IFERROR(VLOOKUP($A26,'05_贷后表现'!$A$5:$J$137,6,FALSE),"")</x:f>
      </x:c>
      <x:c r="Q26" s="42" t="str">
        <x:f>IFERROR(VLOOKUP($A26,'05_贷后表现'!$A$5:$J$137,7,FALSE),"")</x:f>
      </x:c>
      <x:c r="R26" s="45" t="str">
        <x:f>IFERROR(VLOOKUP($A26,'05_贷后表现'!$A$5:$J$137,8,FALSE),"")</x:f>
      </x:c>
      <x:c r="S26" s="35" t="str">
        <x:f>IF(F26&lt;500,"REJECT",IF(OR(I26&gt;=2,J26&gt;60),"REJECT",IF(F26&lt;560,"REVIEW",IF(G26="","REVIEW",IF(AND(L26&lt;&gt;"Y",G26&gt;0.7),"REVIEW","PASS")))))</x:f>
        <x:v>PASS</x:v>
      </x:c>
      <x:c r="T26" s="35" t="str">
        <x:f>M26&amp;"→"&amp;S26</x:f>
        <x:v>PASS→PASS</x:v>
      </x:c>
    </x:row>
    <x:row r="27">
      <x:c r="A27" s="42" t="str">
        <x:v>APP2025000023</x:v>
      </x:c>
      <x:c r="B27" s="43" t="n">
        <x:f>VLOOKUP($A27,'01_申请数据'!$A$5:$L$204,3,FALSE)</x:f>
        <x:v>45794.44236111111</x:v>
      </x:c>
      <x:c r="C27" s="44" t="n">
        <x:f>VLOOKUP($A27,'01_申请数据'!$A$5:$L$204,5,FALSE)</x:f>
        <x:v>130000</x:v>
      </x:c>
      <x:c r="D27" s="45" t="n">
        <x:f>VLOOKUP($A27,'01_申请数据'!$A$5:$L$204,6,FALSE)</x:f>
        <x:v>12</x:v>
      </x:c>
      <x:c r="E27" s="44" t="n">
        <x:f>VLOOKUP($A27,'01_申请数据'!$A$5:$L$204,10,FALSE)</x:f>
        <x:v>13400</x:v>
      </x:c>
      <x:c r="F27" s="45" t="n">
        <x:f>VLOOKUP($A27,'02_征信特征'!$A$5:$J$204,3,FALSE)</x:f>
        <x:v>565</x:v>
      </x:c>
      <x:c r="G27" s="46" t="n">
        <x:f>VLOOKUP($A27,'02_征信特征'!$A$5:$J$204,4,FALSE)</x:f>
        <x:v>0.352</x:v>
      </x:c>
      <x:c r="H27" s="45" t="n">
        <x:f>VLOOKUP($A27,'02_征信特征'!$A$5:$J$204,5,FALSE)</x:f>
        <x:v>1</x:v>
      </x:c>
      <x:c r="I27" s="45" t="n">
        <x:f>VLOOKUP($A27,'02_征信特征'!$A$5:$J$204,6,FALSE)</x:f>
        <x:v>3</x:v>
      </x:c>
      <x:c r="J27" s="45" t="n">
        <x:f>VLOOKUP($A27,'02_征信特征'!$A$5:$J$204,7,FALSE)</x:f>
        <x:v>88</x:v>
      </x:c>
      <x:c r="K27" s="45" t="n">
        <x:f>VLOOKUP($A27,'02_征信特征'!$A$5:$J$204,8,FALSE)</x:f>
        <x:v>8</x:v>
      </x:c>
      <x:c r="L27" s="42" t="str">
        <x:f>VLOOKUP($A27,'02_征信特征'!$A$5:$J$204,9,FALSE)</x:f>
        <x:v>N</x:v>
      </x:c>
      <x:c r="M27" s="42" t="str">
        <x:f>VLOOKUP($A27,'03_决策日志'!$A$5:$G$204,4,FALSE)</x:f>
        <x:v>REJECT</x:v>
      </x:c>
      <x:c r="N27" s="42" t="str">
        <x:f>IFERROR(VLOOKUP($A27,'04_人工审核'!$A$5:$H$57,6,FALSE),"NOT_REQUIRED")</x:f>
        <x:v>NOT_REQUIRED</x:v>
      </x:c>
      <x:c r="O27" s="42" t="str">
        <x:f>IFERROR(VLOOKUP($A27,'05_贷后表现'!$A$5:$J$137,2,FALSE),"N")</x:f>
        <x:v>N</x:v>
      </x:c>
      <x:c r="P27" s="42" t="str">
        <x:f>IFERROR(VLOOKUP($A27,'05_贷后表现'!$A$5:$J$137,6,FALSE),"")</x:f>
      </x:c>
      <x:c r="Q27" s="42" t="str">
        <x:f>IFERROR(VLOOKUP($A27,'05_贷后表现'!$A$5:$J$137,7,FALSE),"")</x:f>
      </x:c>
      <x:c r="R27" s="45" t="str">
        <x:f>IFERROR(VLOOKUP($A27,'05_贷后表现'!$A$5:$J$137,8,FALSE),"")</x:f>
      </x:c>
      <x:c r="S27" s="35" t="str">
        <x:f>IF(F27&lt;500,"REJECT",IF(OR(I27&gt;=2,J27&gt;60),"REJECT",IF(F27&lt;560,"REVIEW",IF(G27="","REVIEW",IF(AND(L27&lt;&gt;"Y",G27&gt;0.7),"REVIEW","PASS")))))</x:f>
        <x:v>REJECT</x:v>
      </x:c>
      <x:c r="T27" s="35" t="str">
        <x:f>M27&amp;"→"&amp;S27</x:f>
        <x:v>REJECT→REJECT</x:v>
      </x:c>
    </x:row>
    <x:row r="28">
      <x:c r="A28" s="42" t="str">
        <x:v>APP2025000024</x:v>
      </x:c>
      <x:c r="B28" s="43" t="n">
        <x:f>VLOOKUP($A28,'01_申请数据'!$A$5:$L$204,3,FALSE)</x:f>
        <x:v>45686.498611111114</x:v>
      </x:c>
      <x:c r="C28" s="44" t="n">
        <x:f>VLOOKUP($A28,'01_申请数据'!$A$5:$L$204,5,FALSE)</x:f>
        <x:v>133000</x:v>
      </x:c>
      <x:c r="D28" s="45" t="n">
        <x:f>VLOOKUP($A28,'01_申请数据'!$A$5:$L$204,6,FALSE)</x:f>
        <x:v>36</x:v>
      </x:c>
      <x:c r="E28" s="44" t="n">
        <x:f>VLOOKUP($A28,'01_申请数据'!$A$5:$L$204,10,FALSE)</x:f>
        <x:v>20100</x:v>
      </x:c>
      <x:c r="F28" s="45" t="n">
        <x:f>VLOOKUP($A28,'02_征信特征'!$A$5:$J$204,3,FALSE)</x:f>
        <x:v>658</x:v>
      </x:c>
      <x:c r="G28" s="46" t="n">
        <x:f>VLOOKUP($A28,'02_征信特征'!$A$5:$J$204,4,FALSE)</x:f>
        <x:v>0.701</x:v>
      </x:c>
      <x:c r="H28" s="45" t="n">
        <x:f>VLOOKUP($A28,'02_征信特征'!$A$5:$J$204,5,FALSE)</x:f>
        <x:v>3</x:v>
      </x:c>
      <x:c r="I28" s="45" t="n">
        <x:f>VLOOKUP($A28,'02_征信特征'!$A$5:$J$204,6,FALSE)</x:f>
        <x:v>0</x:v>
      </x:c>
      <x:c r="J28" s="45" t="n">
        <x:f>VLOOKUP($A28,'02_征信特征'!$A$5:$J$204,7,FALSE)</x:f>
        <x:v>0</x:v>
      </x:c>
      <x:c r="K28" s="45" t="n">
        <x:f>VLOOKUP($A28,'02_征信特征'!$A$5:$J$204,8,FALSE)</x:f>
        <x:v>11</x:v>
      </x:c>
      <x:c r="L28" s="42" t="str">
        <x:f>VLOOKUP($A28,'02_征信特征'!$A$5:$J$204,9,FALSE)</x:f>
        <x:v>N</x:v>
      </x:c>
      <x:c r="M28" s="42" t="str">
        <x:f>VLOOKUP($A28,'03_决策日志'!$A$5:$G$204,4,FALSE)</x:f>
        <x:v>PASS</x:v>
      </x:c>
      <x:c r="N28" s="42" t="str">
        <x:f>IFERROR(VLOOKUP($A28,'04_人工审核'!$A$5:$H$57,6,FALSE),"NOT_REQUIRED")</x:f>
        <x:v>NOT_REQUIRED</x:v>
      </x:c>
      <x:c r="O28" s="42" t="str">
        <x:f>IFERROR(VLOOKUP($A28,'05_贷后表现'!$A$5:$J$137,2,FALSE),"N")</x:f>
        <x:v>Y</x:v>
      </x:c>
      <x:c r="P28" s="42" t="str">
        <x:f>IFERROR(VLOOKUP($A28,'05_贷后表现'!$A$5:$J$137,6,FALSE),"")</x:f>
        <x:v>N</x:v>
      </x:c>
      <x:c r="Q28" s="42" t="str">
        <x:f>IFERROR(VLOOKUP($A28,'05_贷后表现'!$A$5:$J$137,7,FALSE),"")</x:f>
        <x:v>N</x:v>
      </x:c>
      <x:c r="R28" s="45" t="n">
        <x:f>IFERROR(VLOOKUP($A28,'05_贷后表现'!$A$5:$J$137,8,FALSE),"")</x:f>
        <x:v>8</x:v>
      </x:c>
      <x:c r="S28" s="35" t="str">
        <x:f>IF(F28&lt;500,"REJECT",IF(OR(I28&gt;=2,J28&gt;60),"REJECT",IF(F28&lt;560,"REVIEW",IF(G28="","REVIEW",IF(AND(L28&lt;&gt;"Y",G28&gt;0.7),"REVIEW","PASS")))))</x:f>
        <x:v>REVIEW</x:v>
      </x:c>
      <x:c r="T28" s="35" t="str">
        <x:f>M28&amp;"→"&amp;S28</x:f>
        <x:v>PASS→REVIEW</x:v>
      </x:c>
    </x:row>
    <x:row r="29">
      <x:c r="A29" s="42" t="str">
        <x:v>APP2025000025</x:v>
      </x:c>
      <x:c r="B29" s="43" t="n">
        <x:f>VLOOKUP($A29,'01_申请数据'!$A$5:$L$204,3,FALSE)</x:f>
        <x:v>45733.646527777775</x:v>
      </x:c>
      <x:c r="C29" s="44" t="n">
        <x:f>VLOOKUP($A29,'01_申请数据'!$A$5:$L$204,5,FALSE)</x:f>
        <x:v>35000</x:v>
      </x:c>
      <x:c r="D29" s="45" t="n">
        <x:f>VLOOKUP($A29,'01_申请数据'!$A$5:$L$204,6,FALSE)</x:f>
        <x:v>6</x:v>
      </x:c>
      <x:c r="E29" s="44" t="n">
        <x:f>VLOOKUP($A29,'01_申请数据'!$A$5:$L$204,10,FALSE)</x:f>
        <x:v>29700</x:v>
      </x:c>
      <x:c r="F29" s="45" t="n">
        <x:f>VLOOKUP($A29,'02_征信特征'!$A$5:$J$204,3,FALSE)</x:f>
        <x:v>671</x:v>
      </x:c>
      <x:c r="G29" s="46" t="n">
        <x:f>VLOOKUP($A29,'02_征信特征'!$A$5:$J$204,4,FALSE)</x:f>
        <x:v>0.595</x:v>
      </x:c>
      <x:c r="H29" s="45" t="n">
        <x:f>VLOOKUP($A29,'02_征信特征'!$A$5:$J$204,5,FALSE)</x:f>
        <x:v>2</x:v>
      </x:c>
      <x:c r="I29" s="45" t="n">
        <x:f>VLOOKUP($A29,'02_征信特征'!$A$5:$J$204,6,FALSE)</x:f>
        <x:v>0</x:v>
      </x:c>
      <x:c r="J29" s="45" t="n">
        <x:f>VLOOKUP($A29,'02_征信特征'!$A$5:$J$204,7,FALSE)</x:f>
        <x:v>0</x:v>
      </x:c>
      <x:c r="K29" s="45" t="n">
        <x:f>VLOOKUP($A29,'02_征信特征'!$A$5:$J$204,8,FALSE)</x:f>
        <x:v>3</x:v>
      </x:c>
      <x:c r="L29" s="42" t="str">
        <x:f>VLOOKUP($A29,'02_征信特征'!$A$5:$J$204,9,FALSE)</x:f>
        <x:v>N</x:v>
      </x:c>
      <x:c r="M29" s="42" t="str">
        <x:f>VLOOKUP($A29,'03_决策日志'!$A$5:$G$204,4,FALSE)</x:f>
        <x:v>PASS</x:v>
      </x:c>
      <x:c r="N29" s="42" t="str">
        <x:f>IFERROR(VLOOKUP($A29,'04_人工审核'!$A$5:$H$57,6,FALSE),"NOT_REQUIRED")</x:f>
        <x:v>NOT_REQUIRED</x:v>
      </x:c>
      <x:c r="O29" s="42" t="str">
        <x:f>IFERROR(VLOOKUP($A29,'05_贷后表现'!$A$5:$J$137,2,FALSE),"N")</x:f>
        <x:v>Y</x:v>
      </x:c>
      <x:c r="P29" s="42" t="str">
        <x:f>IFERROR(VLOOKUP($A29,'05_贷后表现'!$A$5:$J$137,6,FALSE),"")</x:f>
        <x:v>N</x:v>
      </x:c>
      <x:c r="Q29" s="42" t="str">
        <x:f>IFERROR(VLOOKUP($A29,'05_贷后表现'!$A$5:$J$137,7,FALSE),"")</x:f>
        <x:v>N</x:v>
      </x:c>
      <x:c r="R29" s="45" t="n">
        <x:f>IFERROR(VLOOKUP($A29,'05_贷后表现'!$A$5:$J$137,8,FALSE),"")</x:f>
        <x:v>10</x:v>
      </x:c>
      <x:c r="S29" s="35" t="str">
        <x:f>IF(F29&lt;500,"REJECT",IF(OR(I29&gt;=2,J29&gt;60),"REJECT",IF(F29&lt;560,"REVIEW",IF(G29="","REVIEW",IF(AND(L29&lt;&gt;"Y",G29&gt;0.7),"REVIEW","PASS")))))</x:f>
        <x:v>PASS</x:v>
      </x:c>
      <x:c r="T29" s="35" t="str">
        <x:f>M29&amp;"→"&amp;S29</x:f>
        <x:v>PASS→PASS</x:v>
      </x:c>
    </x:row>
    <x:row r="30">
      <x:c r="A30" s="42" t="str">
        <x:v>APP2025000026</x:v>
      </x:c>
      <x:c r="B30" s="43" t="n">
        <x:f>VLOOKUP($A30,'01_申请数据'!$A$5:$L$204,3,FALSE)</x:f>
        <x:v>45815.458333333336</x:v>
      </x:c>
      <x:c r="C30" s="44" t="n">
        <x:f>VLOOKUP($A30,'01_申请数据'!$A$5:$L$204,5,FALSE)</x:f>
        <x:v>21000</x:v>
      </x:c>
      <x:c r="D30" s="45" t="n">
        <x:f>VLOOKUP($A30,'01_申请数据'!$A$5:$L$204,6,FALSE)</x:f>
        <x:v>12</x:v>
      </x:c>
      <x:c r="E30" s="44" t="n">
        <x:f>VLOOKUP($A30,'01_申请数据'!$A$5:$L$204,10,FALSE)</x:f>
        <x:v>14900</x:v>
      </x:c>
      <x:c r="F30" s="45" t="n">
        <x:f>VLOOKUP($A30,'02_征信特征'!$A$5:$J$204,3,FALSE)</x:f>
        <x:v>706</x:v>
      </x:c>
      <x:c r="G30" s="46" t="n">
        <x:f>VLOOKUP($A30,'02_征信特征'!$A$5:$J$204,4,FALSE)</x:f>
        <x:v>0.453</x:v>
      </x:c>
      <x:c r="H30" s="45" t="n">
        <x:f>VLOOKUP($A30,'02_征信特征'!$A$5:$J$204,5,FALSE)</x:f>
        <x:v>0</x:v>
      </x:c>
      <x:c r="I30" s="45" t="n">
        <x:f>VLOOKUP($A30,'02_征信特征'!$A$5:$J$204,6,FALSE)</x:f>
        <x:v>0</x:v>
      </x:c>
      <x:c r="J30" s="45" t="n">
        <x:f>VLOOKUP($A30,'02_征信特征'!$A$5:$J$204,7,FALSE)</x:f>
        <x:v>0</x:v>
      </x:c>
      <x:c r="K30" s="45" t="n">
        <x:f>VLOOKUP($A30,'02_征信特征'!$A$5:$J$204,8,FALSE)</x:f>
        <x:v>10</x:v>
      </x:c>
      <x:c r="L30" s="42" t="str">
        <x:f>VLOOKUP($A30,'02_征信特征'!$A$5:$J$204,9,FALSE)</x:f>
        <x:v>N</x:v>
      </x:c>
      <x:c r="M30" s="42" t="str">
        <x:f>VLOOKUP($A30,'03_决策日志'!$A$5:$G$204,4,FALSE)</x:f>
        <x:v>PASS</x:v>
      </x:c>
      <x:c r="N30" s="42" t="str">
        <x:f>IFERROR(VLOOKUP($A30,'04_人工审核'!$A$5:$H$57,6,FALSE),"NOT_REQUIRED")</x:f>
        <x:v>NOT_REQUIRED</x:v>
      </x:c>
      <x:c r="O30" s="42" t="str">
        <x:f>IFERROR(VLOOKUP($A30,'05_贷后表现'!$A$5:$J$137,2,FALSE),"N")</x:f>
        <x:v>N</x:v>
      </x:c>
      <x:c r="P30" s="42" t="str">
        <x:f>IFERROR(VLOOKUP($A30,'05_贷后表现'!$A$5:$J$137,6,FALSE),"")</x:f>
      </x:c>
      <x:c r="Q30" s="42" t="str">
        <x:f>IFERROR(VLOOKUP($A30,'05_贷后表现'!$A$5:$J$137,7,FALSE),"")</x:f>
      </x:c>
      <x:c r="R30" s="45" t="str">
        <x:f>IFERROR(VLOOKUP($A30,'05_贷后表现'!$A$5:$J$137,8,FALSE),"")</x:f>
      </x:c>
      <x:c r="S30" s="35" t="str">
        <x:f>IF(F30&lt;500,"REJECT",IF(OR(I30&gt;=2,J30&gt;60),"REJECT",IF(F30&lt;560,"REVIEW",IF(G30="","REVIEW",IF(AND(L30&lt;&gt;"Y",G30&gt;0.7),"REVIEW","PASS")))))</x:f>
        <x:v>PASS</x:v>
      </x:c>
      <x:c r="T30" s="35" t="str">
        <x:f>M30&amp;"→"&amp;S30</x:f>
        <x:v>PASS→PASS</x:v>
      </x:c>
    </x:row>
    <x:row r="31">
      <x:c r="A31" s="42" t="str">
        <x:v>APP2025000027</x:v>
      </x:c>
      <x:c r="B31" s="43" t="n">
        <x:f>VLOOKUP($A31,'01_申请数据'!$A$5:$L$204,3,FALSE)</x:f>
        <x:v>45674.52916666667</x:v>
      </x:c>
      <x:c r="C31" s="44" t="n">
        <x:f>VLOOKUP($A31,'01_申请数据'!$A$5:$L$204,5,FALSE)</x:f>
        <x:v>62000</x:v>
      </x:c>
      <x:c r="D31" s="45" t="n">
        <x:f>VLOOKUP($A31,'01_申请数据'!$A$5:$L$204,6,FALSE)</x:f>
        <x:v>12</x:v>
      </x:c>
      <x:c r="E31" s="44" t="n">
        <x:f>VLOOKUP($A31,'01_申请数据'!$A$5:$L$204,10,FALSE)</x:f>
        <x:v>20900</x:v>
      </x:c>
      <x:c r="F31" s="45" t="n">
        <x:f>VLOOKUP($A31,'02_征信特征'!$A$5:$J$204,3,FALSE)</x:f>
        <x:v>696</x:v>
      </x:c>
      <x:c r="G31" s="46" t="n">
        <x:f>VLOOKUP($A31,'02_征信特征'!$A$5:$J$204,4,FALSE)</x:f>
        <x:v>0.491</x:v>
      </x:c>
      <x:c r="H31" s="45" t="n">
        <x:f>VLOOKUP($A31,'02_征信特征'!$A$5:$J$204,5,FALSE)</x:f>
        <x:v>4</x:v>
      </x:c>
      <x:c r="I31" s="45" t="n">
        <x:f>VLOOKUP($A31,'02_征信特征'!$A$5:$J$204,6,FALSE)</x:f>
        <x:v>0</x:v>
      </x:c>
      <x:c r="J31" s="45" t="n">
        <x:f>VLOOKUP($A31,'02_征信特征'!$A$5:$J$204,7,FALSE)</x:f>
        <x:v>0</x:v>
      </x:c>
      <x:c r="K31" s="45" t="n">
        <x:f>VLOOKUP($A31,'02_征信特征'!$A$5:$J$204,8,FALSE)</x:f>
        <x:v>2</x:v>
      </x:c>
      <x:c r="L31" s="42" t="str">
        <x:f>VLOOKUP($A31,'02_征信特征'!$A$5:$J$204,9,FALSE)</x:f>
        <x:v>N</x:v>
      </x:c>
      <x:c r="M31" s="42" t="str">
        <x:f>VLOOKUP($A31,'03_决策日志'!$A$5:$G$204,4,FALSE)</x:f>
        <x:v>PASS</x:v>
      </x:c>
      <x:c r="N31" s="42" t="str">
        <x:f>IFERROR(VLOOKUP($A31,'04_人工审核'!$A$5:$H$57,6,FALSE),"NOT_REQUIRED")</x:f>
        <x:v>NOT_REQUIRED</x:v>
      </x:c>
      <x:c r="O31" s="42" t="str">
        <x:f>IFERROR(VLOOKUP($A31,'05_贷后表现'!$A$5:$J$137,2,FALSE),"N")</x:f>
        <x:v>Y</x:v>
      </x:c>
      <x:c r="P31" s="42" t="str">
        <x:f>IFERROR(VLOOKUP($A31,'05_贷后表现'!$A$5:$J$137,6,FALSE),"")</x:f>
        <x:v>N</x:v>
      </x:c>
      <x:c r="Q31" s="42" t="str">
        <x:f>IFERROR(VLOOKUP($A31,'05_贷后表现'!$A$5:$J$137,7,FALSE),"")</x:f>
        <x:v>N</x:v>
      </x:c>
      <x:c r="R31" s="45" t="n">
        <x:f>IFERROR(VLOOKUP($A31,'05_贷后表现'!$A$5:$J$137,8,FALSE),"")</x:f>
        <x:v>9</x:v>
      </x:c>
      <x:c r="S31" s="35" t="str">
        <x:f>IF(F31&lt;500,"REJECT",IF(OR(I31&gt;=2,J31&gt;60),"REJECT",IF(F31&lt;560,"REVIEW",IF(G31="","REVIEW",IF(AND(L31&lt;&gt;"Y",G31&gt;0.7),"REVIEW","PASS")))))</x:f>
        <x:v>PASS</x:v>
      </x:c>
      <x:c r="T31" s="35" t="str">
        <x:f>M31&amp;"→"&amp;S31</x:f>
        <x:v>PASS→PASS</x:v>
      </x:c>
    </x:row>
    <x:row r="32">
      <x:c r="A32" s="42" t="str">
        <x:v>APP2025000028</x:v>
      </x:c>
      <x:c r="B32" s="43" t="n">
        <x:f>VLOOKUP($A32,'01_申请数据'!$A$5:$L$204,3,FALSE)</x:f>
        <x:v>45666.521527777775</x:v>
      </x:c>
      <x:c r="C32" s="44" t="n">
        <x:f>VLOOKUP($A32,'01_申请数据'!$A$5:$L$204,5,FALSE)</x:f>
        <x:v>108000</x:v>
      </x:c>
      <x:c r="D32" s="45" t="n">
        <x:f>VLOOKUP($A32,'01_申请数据'!$A$5:$L$204,6,FALSE)</x:f>
        <x:v>6</x:v>
      </x:c>
      <x:c r="E32" s="44" t="n">
        <x:f>VLOOKUP($A32,'01_申请数据'!$A$5:$L$204,10,FALSE)</x:f>
        <x:v>15700</x:v>
      </x:c>
      <x:c r="F32" s="45" t="n">
        <x:f>VLOOKUP($A32,'02_征信特征'!$A$5:$J$204,3,FALSE)</x:f>
        <x:v>590</x:v>
      </x:c>
      <x:c r="G32" s="46" t="n">
        <x:f>VLOOKUP($A32,'02_征信特征'!$A$5:$J$204,4,FALSE)</x:f>
        <x:v>0.447</x:v>
      </x:c>
      <x:c r="H32" s="45" t="n">
        <x:f>VLOOKUP($A32,'02_征信特征'!$A$5:$J$204,5,FALSE)</x:f>
        <x:v>0</x:v>
      </x:c>
      <x:c r="I32" s="45" t="n">
        <x:f>VLOOKUP($A32,'02_征信特征'!$A$5:$J$204,6,FALSE)</x:f>
        <x:v>3</x:v>
      </x:c>
      <x:c r="J32" s="45" t="n">
        <x:f>VLOOKUP($A32,'02_征信特征'!$A$5:$J$204,7,FALSE)</x:f>
        <x:v>38</x:v>
      </x:c>
      <x:c r="K32" s="45" t="n">
        <x:f>VLOOKUP($A32,'02_征信特征'!$A$5:$J$204,8,FALSE)</x:f>
        <x:v>7</x:v>
      </x:c>
      <x:c r="L32" s="42" t="str">
        <x:f>VLOOKUP($A32,'02_征信特征'!$A$5:$J$204,9,FALSE)</x:f>
        <x:v>N</x:v>
      </x:c>
      <x:c r="M32" s="42" t="str">
        <x:f>VLOOKUP($A32,'03_决策日志'!$A$5:$G$204,4,FALSE)</x:f>
        <x:v>REJECT</x:v>
      </x:c>
      <x:c r="N32" s="42" t="str">
        <x:f>IFERROR(VLOOKUP($A32,'04_人工审核'!$A$5:$H$57,6,FALSE),"NOT_REQUIRED")</x:f>
        <x:v>NOT_REQUIRED</x:v>
      </x:c>
      <x:c r="O32" s="42" t="str">
        <x:f>IFERROR(VLOOKUP($A32,'05_贷后表现'!$A$5:$J$137,2,FALSE),"N")</x:f>
        <x:v>N</x:v>
      </x:c>
      <x:c r="P32" s="42" t="str">
        <x:f>IFERROR(VLOOKUP($A32,'05_贷后表现'!$A$5:$J$137,6,FALSE),"")</x:f>
      </x:c>
      <x:c r="Q32" s="42" t="str">
        <x:f>IFERROR(VLOOKUP($A32,'05_贷后表现'!$A$5:$J$137,7,FALSE),"")</x:f>
      </x:c>
      <x:c r="R32" s="45" t="str">
        <x:f>IFERROR(VLOOKUP($A32,'05_贷后表现'!$A$5:$J$137,8,FALSE),"")</x:f>
      </x:c>
      <x:c r="S32" s="35" t="str">
        <x:f>IF(F32&lt;500,"REJECT",IF(OR(I32&gt;=2,J32&gt;60),"REJECT",IF(F32&lt;560,"REVIEW",IF(G32="","REVIEW",IF(AND(L32&lt;&gt;"Y",G32&gt;0.7),"REVIEW","PASS")))))</x:f>
        <x:v>REJECT</x:v>
      </x:c>
      <x:c r="T32" s="35" t="str">
        <x:f>M32&amp;"→"&amp;S32</x:f>
        <x:v>REJECT→REJECT</x:v>
      </x:c>
    </x:row>
    <x:row r="33">
      <x:c r="A33" s="42" t="str">
        <x:v>APP2025000029</x:v>
      </x:c>
      <x:c r="B33" s="43" t="n">
        <x:f>VLOOKUP($A33,'01_申请数据'!$A$5:$L$204,3,FALSE)</x:f>
        <x:v>45713.50902777778</x:v>
      </x:c>
      <x:c r="C33" s="44" t="n">
        <x:f>VLOOKUP($A33,'01_申请数据'!$A$5:$L$204,5,FALSE)</x:f>
        <x:v>77000</x:v>
      </x:c>
      <x:c r="D33" s="45" t="n">
        <x:f>VLOOKUP($A33,'01_申请数据'!$A$5:$L$204,6,FALSE)</x:f>
        <x:v>6</x:v>
      </x:c>
      <x:c r="E33" s="44" t="n">
        <x:f>VLOOKUP($A33,'01_申请数据'!$A$5:$L$204,10,FALSE)</x:f>
        <x:v>18400</x:v>
      </x:c>
      <x:c r="F33" s="45" t="n">
        <x:f>VLOOKUP($A33,'02_征信特征'!$A$5:$J$204,3,FALSE)</x:f>
        <x:v>679</x:v>
      </x:c>
      <x:c r="G33" s="46" t="n">
        <x:f>VLOOKUP($A33,'02_征信特征'!$A$5:$J$204,4,FALSE)</x:f>
        <x:v>0.846</x:v>
      </x:c>
      <x:c r="H33" s="45" t="n">
        <x:f>VLOOKUP($A33,'02_征信特征'!$A$5:$J$204,5,FALSE)</x:f>
        <x:v>0</x:v>
      </x:c>
      <x:c r="I33" s="45" t="n">
        <x:f>VLOOKUP($A33,'02_征信特征'!$A$5:$J$204,6,FALSE)</x:f>
        <x:v>0</x:v>
      </x:c>
      <x:c r="J33" s="45" t="n">
        <x:f>VLOOKUP($A33,'02_征信特征'!$A$5:$J$204,7,FALSE)</x:f>
        <x:v>0</x:v>
      </x:c>
      <x:c r="K33" s="45" t="n">
        <x:f>VLOOKUP($A33,'02_征信特征'!$A$5:$J$204,8,FALSE)</x:f>
        <x:v>5</x:v>
      </x:c>
      <x:c r="L33" s="42" t="str">
        <x:f>VLOOKUP($A33,'02_征信特征'!$A$5:$J$204,9,FALSE)</x:f>
        <x:v>N</x:v>
      </x:c>
      <x:c r="M33" s="42" t="str">
        <x:f>VLOOKUP($A33,'03_决策日志'!$A$5:$G$204,4,FALSE)</x:f>
        <x:v>REVIEW</x:v>
      </x:c>
      <x:c r="N33" s="42" t="str">
        <x:f>IFERROR(VLOOKUP($A33,'04_人工审核'!$A$5:$H$57,6,FALSE),"NOT_REQUIRED")</x:f>
        <x:v>DECLINE</x:v>
      </x:c>
      <x:c r="O33" s="42" t="str">
        <x:f>IFERROR(VLOOKUP($A33,'05_贷后表现'!$A$5:$J$137,2,FALSE),"N")</x:f>
        <x:v>N</x:v>
      </x:c>
      <x:c r="P33" s="42" t="str">
        <x:f>IFERROR(VLOOKUP($A33,'05_贷后表现'!$A$5:$J$137,6,FALSE),"")</x:f>
      </x:c>
      <x:c r="Q33" s="42" t="str">
        <x:f>IFERROR(VLOOKUP($A33,'05_贷后表现'!$A$5:$J$137,7,FALSE),"")</x:f>
      </x:c>
      <x:c r="R33" s="45" t="str">
        <x:f>IFERROR(VLOOKUP($A33,'05_贷后表现'!$A$5:$J$137,8,FALSE),"")</x:f>
      </x:c>
      <x:c r="S33" s="35" t="str">
        <x:f>IF(F33&lt;500,"REJECT",IF(OR(I33&gt;=2,J33&gt;60),"REJECT",IF(F33&lt;560,"REVIEW",IF(G33="","REVIEW",IF(AND(L33&lt;&gt;"Y",G33&gt;0.7),"REVIEW","PASS")))))</x:f>
        <x:v>REVIEW</x:v>
      </x:c>
      <x:c r="T33" s="35" t="str">
        <x:f>M33&amp;"→"&amp;S33</x:f>
        <x:v>REVIEW→REVIEW</x:v>
      </x:c>
    </x:row>
    <x:row r="34">
      <x:c r="A34" s="42" t="str">
        <x:v>APP2025000030</x:v>
      </x:c>
      <x:c r="B34" s="43" t="n">
        <x:f>VLOOKUP($A34,'01_申请数据'!$A$5:$L$204,3,FALSE)</x:f>
        <x:v>45787.64027777778</x:v>
      </x:c>
      <x:c r="C34" s="44" t="n">
        <x:f>VLOOKUP($A34,'01_申请数据'!$A$5:$L$204,5,FALSE)</x:f>
        <x:v>99000</x:v>
      </x:c>
      <x:c r="D34" s="45" t="n">
        <x:f>VLOOKUP($A34,'01_申请数据'!$A$5:$L$204,6,FALSE)</x:f>
        <x:v>18</x:v>
      </x:c>
      <x:c r="E34" s="44" t="n">
        <x:f>VLOOKUP($A34,'01_申请数据'!$A$5:$L$204,10,FALSE)</x:f>
        <x:v>16400</x:v>
      </x:c>
      <x:c r="F34" s="45" t="n">
        <x:f>VLOOKUP($A34,'02_征信特征'!$A$5:$J$204,3,FALSE)</x:f>
        <x:v>619</x:v>
      </x:c>
      <x:c r="G34" s="46" t="n">
        <x:f>VLOOKUP($A34,'02_征信特征'!$A$5:$J$204,4,FALSE)</x:f>
        <x:v>0.803</x:v>
      </x:c>
      <x:c r="H34" s="45" t="n">
        <x:f>VLOOKUP($A34,'02_征信特征'!$A$5:$J$204,5,FALSE)</x:f>
        <x:v>1</x:v>
      </x:c>
      <x:c r="I34" s="45" t="n">
        <x:f>VLOOKUP($A34,'02_征信特征'!$A$5:$J$204,6,FALSE)</x:f>
        <x:v>0</x:v>
      </x:c>
      <x:c r="J34" s="45" t="n">
        <x:f>VLOOKUP($A34,'02_征信特征'!$A$5:$J$204,7,FALSE)</x:f>
        <x:v>0</x:v>
      </x:c>
      <x:c r="K34" s="45" t="n">
        <x:f>VLOOKUP($A34,'02_征信特征'!$A$5:$J$204,8,FALSE)</x:f>
        <x:v>2</x:v>
      </x:c>
      <x:c r="L34" s="42" t="str">
        <x:f>VLOOKUP($A34,'02_征信特征'!$A$5:$J$204,9,FALSE)</x:f>
        <x:v>N</x:v>
      </x:c>
      <x:c r="M34" s="42" t="str">
        <x:f>VLOOKUP($A34,'03_决策日志'!$A$5:$G$204,4,FALSE)</x:f>
        <x:v>REVIEW</x:v>
      </x:c>
      <x:c r="N34" s="42" t="str">
        <x:f>IFERROR(VLOOKUP($A34,'04_人工审核'!$A$5:$H$57,6,FALSE),"NOT_REQUIRED")</x:f>
        <x:v>APPROVE</x:v>
      </x:c>
      <x:c r="O34" s="42" t="str">
        <x:f>IFERROR(VLOOKUP($A34,'05_贷后表现'!$A$5:$J$137,2,FALSE),"N")</x:f>
        <x:v>Y</x:v>
      </x:c>
      <x:c r="P34" s="42" t="str">
        <x:f>IFERROR(VLOOKUP($A34,'05_贷后表现'!$A$5:$J$137,6,FALSE),"")</x:f>
        <x:v>N</x:v>
      </x:c>
      <x:c r="Q34" s="42" t="str">
        <x:f>IFERROR(VLOOKUP($A34,'05_贷后表现'!$A$5:$J$137,7,FALSE),"")</x:f>
        <x:v>N</x:v>
      </x:c>
      <x:c r="R34" s="45" t="n">
        <x:f>IFERROR(VLOOKUP($A34,'05_贷后表现'!$A$5:$J$137,8,FALSE),"")</x:f>
        <x:v>15</x:v>
      </x:c>
      <x:c r="S34" s="35" t="str">
        <x:f>IF(F34&lt;500,"REJECT",IF(OR(I34&gt;=2,J34&gt;60),"REJECT",IF(F34&lt;560,"REVIEW",IF(G34="","REVIEW",IF(AND(L34&lt;&gt;"Y",G34&gt;0.7),"REVIEW","PASS")))))</x:f>
        <x:v>REVIEW</x:v>
      </x:c>
      <x:c r="T34" s="35" t="str">
        <x:f>M34&amp;"→"&amp;S34</x:f>
        <x:v>REVIEW→REVIEW</x:v>
      </x:c>
    </x:row>
    <x:row r="35">
      <x:c r="A35" s="42" t="str">
        <x:v>APP2025000031</x:v>
      </x:c>
      <x:c r="B35" s="43" t="n">
        <x:f>VLOOKUP($A35,'01_申请数据'!$A$5:$L$204,3,FALSE)</x:f>
        <x:v>45730.73055555556</x:v>
      </x:c>
      <x:c r="C35" s="44" t="n">
        <x:f>VLOOKUP($A35,'01_申请数据'!$A$5:$L$204,5,FALSE)</x:f>
        <x:v>119000</x:v>
      </x:c>
      <x:c r="D35" s="45" t="n">
        <x:f>VLOOKUP($A35,'01_申请数据'!$A$5:$L$204,6,FALSE)</x:f>
        <x:v>12</x:v>
      </x:c>
      <x:c r="E35" s="44" t="n">
        <x:f>VLOOKUP($A35,'01_申请数据'!$A$5:$L$204,10,FALSE)</x:f>
        <x:v>12000</x:v>
      </x:c>
      <x:c r="F35" s="45" t="n">
        <x:f>VLOOKUP($A35,'02_征信特征'!$A$5:$J$204,3,FALSE)</x:f>
        <x:v>558</x:v>
      </x:c>
      <x:c r="G35" s="46" t="n">
        <x:f>VLOOKUP($A35,'02_征信特征'!$A$5:$J$204,4,FALSE)</x:f>
        <x:v>0.462</x:v>
      </x:c>
      <x:c r="H35" s="45" t="n">
        <x:f>VLOOKUP($A35,'02_征信特征'!$A$5:$J$204,5,FALSE)</x:f>
        <x:v>4</x:v>
      </x:c>
      <x:c r="I35" s="45" t="n">
        <x:f>VLOOKUP($A35,'02_征信特征'!$A$5:$J$204,6,FALSE)</x:f>
        <x:v>2</x:v>
      </x:c>
      <x:c r="J35" s="45" t="n">
        <x:f>VLOOKUP($A35,'02_征信特征'!$A$5:$J$204,7,FALSE)</x:f>
        <x:v>29</x:v>
      </x:c>
      <x:c r="K35" s="45" t="n">
        <x:f>VLOOKUP($A35,'02_征信特征'!$A$5:$J$204,8,FALSE)</x:f>
        <x:v>9</x:v>
      </x:c>
      <x:c r="L35" s="42" t="str">
        <x:f>VLOOKUP($A35,'02_征信特征'!$A$5:$J$204,9,FALSE)</x:f>
        <x:v>N</x:v>
      </x:c>
      <x:c r="M35" s="42" t="str">
        <x:f>VLOOKUP($A35,'03_决策日志'!$A$5:$G$204,4,FALSE)</x:f>
        <x:v>REVIEW</x:v>
      </x:c>
      <x:c r="N35" s="42" t="str">
        <x:f>IFERROR(VLOOKUP($A35,'04_人工审核'!$A$5:$H$57,6,FALSE),"NOT_REQUIRED")</x:f>
        <x:v>APPROVE</x:v>
      </x:c>
      <x:c r="O35" s="42" t="str">
        <x:f>IFERROR(VLOOKUP($A35,'05_贷后表现'!$A$5:$J$137,2,FALSE),"N")</x:f>
        <x:v>Y</x:v>
      </x:c>
      <x:c r="P35" s="42" t="str">
        <x:f>IFERROR(VLOOKUP($A35,'05_贷后表现'!$A$5:$J$137,6,FALSE),"")</x:f>
        <x:v>N</x:v>
      </x:c>
      <x:c r="Q35" s="42" t="str">
        <x:f>IFERROR(VLOOKUP($A35,'05_贷后表现'!$A$5:$J$137,7,FALSE),"")</x:f>
        <x:v>N</x:v>
      </x:c>
      <x:c r="R35" s="45" t="n">
        <x:f>IFERROR(VLOOKUP($A35,'05_贷后表现'!$A$5:$J$137,8,FALSE),"")</x:f>
        <x:v>11</x:v>
      </x:c>
      <x:c r="S35" s="35" t="str">
        <x:f>IF(F35&lt;500,"REJECT",IF(OR(I35&gt;=2,J35&gt;60),"REJECT",IF(F35&lt;560,"REVIEW",IF(G35="","REVIEW",IF(AND(L35&lt;&gt;"Y",G35&gt;0.7),"REVIEW","PASS")))))</x:f>
        <x:v>REJECT</x:v>
      </x:c>
      <x:c r="T35" s="35" t="str">
        <x:f>M35&amp;"→"&amp;S35</x:f>
        <x:v>REVIEW→REJECT</x:v>
      </x:c>
    </x:row>
    <x:row r="36">
      <x:c r="A36" s="42" t="str">
        <x:v>APP2025000032</x:v>
      </x:c>
      <x:c r="B36" s="43" t="n">
        <x:f>VLOOKUP($A36,'01_申请数据'!$A$5:$L$204,3,FALSE)</x:f>
        <x:v>45805.45347222222</x:v>
      </x:c>
      <x:c r="C36" s="44" t="n">
        <x:f>VLOOKUP($A36,'01_申请数据'!$A$5:$L$204,5,FALSE)</x:f>
        <x:v>105000</x:v>
      </x:c>
      <x:c r="D36" s="45" t="n">
        <x:f>VLOOKUP($A36,'01_申请数据'!$A$5:$L$204,6,FALSE)</x:f>
        <x:v>24</x:v>
      </x:c>
      <x:c r="E36" s="44" t="n">
        <x:f>VLOOKUP($A36,'01_申请数据'!$A$5:$L$204,10,FALSE)</x:f>
        <x:v>10300</x:v>
      </x:c>
      <x:c r="F36" s="45" t="n">
        <x:f>VLOOKUP($A36,'02_征信特征'!$A$5:$J$204,3,FALSE)</x:f>
        <x:v>644</x:v>
      </x:c>
      <x:c r="G36" s="46" t="n">
        <x:f>VLOOKUP($A36,'02_征信特征'!$A$5:$J$204,4,FALSE)</x:f>
        <x:v>0.545</x:v>
      </x:c>
      <x:c r="H36" s="45" t="n">
        <x:f>VLOOKUP($A36,'02_征信特征'!$A$5:$J$204,5,FALSE)</x:f>
        <x:v>2</x:v>
      </x:c>
      <x:c r="I36" s="45" t="n">
        <x:f>VLOOKUP($A36,'02_征信特征'!$A$5:$J$204,6,FALSE)</x:f>
        <x:v>1</x:v>
      </x:c>
      <x:c r="J36" s="45" t="n">
        <x:f>VLOOKUP($A36,'02_征信特征'!$A$5:$J$204,7,FALSE)</x:f>
        <x:v>40</x:v>
      </x:c>
      <x:c r="K36" s="45" t="n">
        <x:f>VLOOKUP($A36,'02_征信特征'!$A$5:$J$204,8,FALSE)</x:f>
        <x:v>7</x:v>
      </x:c>
      <x:c r="L36" s="42" t="str">
        <x:f>VLOOKUP($A36,'02_征信特征'!$A$5:$J$204,9,FALSE)</x:f>
        <x:v>N</x:v>
      </x:c>
      <x:c r="M36" s="42" t="str">
        <x:f>VLOOKUP($A36,'03_决策日志'!$A$5:$G$204,4,FALSE)</x:f>
        <x:v>PASS</x:v>
      </x:c>
      <x:c r="N36" s="42" t="str">
        <x:f>IFERROR(VLOOKUP($A36,'04_人工审核'!$A$5:$H$57,6,FALSE),"NOT_REQUIRED")</x:f>
        <x:v>NOT_REQUIRED</x:v>
      </x:c>
      <x:c r="O36" s="42" t="str">
        <x:f>IFERROR(VLOOKUP($A36,'05_贷后表现'!$A$5:$J$137,2,FALSE),"N")</x:f>
        <x:v>Y</x:v>
      </x:c>
      <x:c r="P36" s="42" t="str">
        <x:f>IFERROR(VLOOKUP($A36,'05_贷后表现'!$A$5:$J$137,6,FALSE),"")</x:f>
        <x:v>N</x:v>
      </x:c>
      <x:c r="Q36" s="42" t="str">
        <x:f>IFERROR(VLOOKUP($A36,'05_贷后表现'!$A$5:$J$137,7,FALSE),"")</x:f>
        <x:v>N</x:v>
      </x:c>
      <x:c r="R36" s="45" t="n">
        <x:f>IFERROR(VLOOKUP($A36,'05_贷后表现'!$A$5:$J$137,8,FALSE),"")</x:f>
        <x:v>12</x:v>
      </x:c>
      <x:c r="S36" s="35" t="str">
        <x:f>IF(F36&lt;500,"REJECT",IF(OR(I36&gt;=2,J36&gt;60),"REJECT",IF(F36&lt;560,"REVIEW",IF(G36="","REVIEW",IF(AND(L36&lt;&gt;"Y",G36&gt;0.7),"REVIEW","PASS")))))</x:f>
        <x:v>PASS</x:v>
      </x:c>
      <x:c r="T36" s="35" t="str">
        <x:f>M36&amp;"→"&amp;S36</x:f>
        <x:v>PASS→PASS</x:v>
      </x:c>
    </x:row>
    <x:row r="37">
      <x:c r="A37" s="42" t="str">
        <x:v>APP2025000033</x:v>
      </x:c>
      <x:c r="B37" s="43" t="n">
        <x:f>VLOOKUP($A37,'01_申请数据'!$A$5:$L$204,3,FALSE)</x:f>
        <x:v>45777.347916666666</x:v>
      </x:c>
      <x:c r="C37" s="44" t="n">
        <x:f>VLOOKUP($A37,'01_申请数据'!$A$5:$L$204,5,FALSE)</x:f>
        <x:v>46000</x:v>
      </x:c>
      <x:c r="D37" s="45" t="n">
        <x:f>VLOOKUP($A37,'01_申请数据'!$A$5:$L$204,6,FALSE)</x:f>
        <x:v>6</x:v>
      </x:c>
      <x:c r="E37" s="44" t="n">
        <x:f>VLOOKUP($A37,'01_申请数据'!$A$5:$L$204,10,FALSE)</x:f>
        <x:v>17500</x:v>
      </x:c>
      <x:c r="F37" s="45" t="n">
        <x:f>VLOOKUP($A37,'02_征信特征'!$A$5:$J$204,3,FALSE)</x:f>
        <x:v>673</x:v>
      </x:c>
      <x:c r="G37" s="46" t="n">
        <x:f>VLOOKUP($A37,'02_征信特征'!$A$5:$J$204,4,FALSE)</x:f>
        <x:v>0.398</x:v>
      </x:c>
      <x:c r="H37" s="45" t="n">
        <x:f>VLOOKUP($A37,'02_征信特征'!$A$5:$J$204,5,FALSE)</x:f>
        <x:v>2</x:v>
      </x:c>
      <x:c r="I37" s="45" t="n">
        <x:f>VLOOKUP($A37,'02_征信特征'!$A$5:$J$204,6,FALSE)</x:f>
        <x:v>0</x:v>
      </x:c>
      <x:c r="J37" s="45" t="n">
        <x:f>VLOOKUP($A37,'02_征信特征'!$A$5:$J$204,7,FALSE)</x:f>
        <x:v>0</x:v>
      </x:c>
      <x:c r="K37" s="45" t="n">
        <x:f>VLOOKUP($A37,'02_征信特征'!$A$5:$J$204,8,FALSE)</x:f>
        <x:v>0</x:v>
      </x:c>
      <x:c r="L37" s="42" t="str">
        <x:f>VLOOKUP($A37,'02_征信特征'!$A$5:$J$204,9,FALSE)</x:f>
        <x:v>N</x:v>
      </x:c>
      <x:c r="M37" s="42" t="str">
        <x:f>VLOOKUP($A37,'03_决策日志'!$A$5:$G$204,4,FALSE)</x:f>
        <x:v>PASS</x:v>
      </x:c>
      <x:c r="N37" s="42" t="str">
        <x:f>IFERROR(VLOOKUP($A37,'04_人工审核'!$A$5:$H$57,6,FALSE),"NOT_REQUIRED")</x:f>
        <x:v>NOT_REQUIRED</x:v>
      </x:c>
      <x:c r="O37" s="42" t="str">
        <x:f>IFERROR(VLOOKUP($A37,'05_贷后表现'!$A$5:$J$137,2,FALSE),"N")</x:f>
        <x:v>Y</x:v>
      </x:c>
      <x:c r="P37" s="42" t="str">
        <x:f>IFERROR(VLOOKUP($A37,'05_贷后表现'!$A$5:$J$137,6,FALSE),"")</x:f>
        <x:v>N</x:v>
      </x:c>
      <x:c r="Q37" s="42" t="str">
        <x:f>IFERROR(VLOOKUP($A37,'05_贷后表现'!$A$5:$J$137,7,FALSE),"")</x:f>
        <x:v>N</x:v>
      </x:c>
      <x:c r="R37" s="45" t="n">
        <x:f>IFERROR(VLOOKUP($A37,'05_贷后表现'!$A$5:$J$137,8,FALSE),"")</x:f>
        <x:v>15</x:v>
      </x:c>
      <x:c r="S37" s="35" t="str">
        <x:f>IF(F37&lt;500,"REJECT",IF(OR(I37&gt;=2,J37&gt;60),"REJECT",IF(F37&lt;560,"REVIEW",IF(G37="","REVIEW",IF(AND(L37&lt;&gt;"Y",G37&gt;0.7),"REVIEW","PASS")))))</x:f>
        <x:v>PASS</x:v>
      </x:c>
      <x:c r="T37" s="35" t="str">
        <x:f>M37&amp;"→"&amp;S37</x:f>
        <x:v>PASS→PASS</x:v>
      </x:c>
    </x:row>
    <x:row r="38">
      <x:c r="A38" s="42" t="str">
        <x:v>APP2025000034</x:v>
      </x:c>
      <x:c r="B38" s="43" t="n">
        <x:f>VLOOKUP($A38,'01_申请数据'!$A$5:$L$204,3,FALSE)</x:f>
        <x:v>45720.63680555556</x:v>
      </x:c>
      <x:c r="C38" s="44" t="n">
        <x:f>VLOOKUP($A38,'01_申请数据'!$A$5:$L$204,5,FALSE)</x:f>
        <x:v>72000</x:v>
      </x:c>
      <x:c r="D38" s="45" t="n">
        <x:f>VLOOKUP($A38,'01_申请数据'!$A$5:$L$204,6,FALSE)</x:f>
        <x:v>18</x:v>
      </x:c>
      <x:c r="E38" s="44" t="n">
        <x:f>VLOOKUP($A38,'01_申请数据'!$A$5:$L$204,10,FALSE)</x:f>
        <x:v>18700</x:v>
      </x:c>
      <x:c r="F38" s="45" t="n">
        <x:f>VLOOKUP($A38,'02_征信特征'!$A$5:$J$204,3,FALSE)</x:f>
        <x:v>622</x:v>
      </x:c>
      <x:c r="G38" s="46" t="n">
        <x:f>VLOOKUP($A38,'02_征信特征'!$A$5:$J$204,4,FALSE)</x:f>
        <x:v>0.611</x:v>
      </x:c>
      <x:c r="H38" s="45" t="n">
        <x:f>VLOOKUP($A38,'02_征信特征'!$A$5:$J$204,5,FALSE)</x:f>
        <x:v>1</x:v>
      </x:c>
      <x:c r="I38" s="45" t="n">
        <x:f>VLOOKUP($A38,'02_征信特征'!$A$5:$J$204,6,FALSE)</x:f>
        <x:v>0</x:v>
      </x:c>
      <x:c r="J38" s="45" t="n">
        <x:f>VLOOKUP($A38,'02_征信特征'!$A$5:$J$204,7,FALSE)</x:f>
        <x:v>0</x:v>
      </x:c>
      <x:c r="K38" s="45" t="n">
        <x:f>VLOOKUP($A38,'02_征信特征'!$A$5:$J$204,8,FALSE)</x:f>
        <x:v>2</x:v>
      </x:c>
      <x:c r="L38" s="42" t="str">
        <x:f>VLOOKUP($A38,'02_征信特征'!$A$5:$J$204,9,FALSE)</x:f>
        <x:v>N</x:v>
      </x:c>
      <x:c r="M38" s="42" t="str">
        <x:f>VLOOKUP($A38,'03_决策日志'!$A$5:$G$204,4,FALSE)</x:f>
        <x:v>PASS</x:v>
      </x:c>
      <x:c r="N38" s="42" t="str">
        <x:f>IFERROR(VLOOKUP($A38,'04_人工审核'!$A$5:$H$57,6,FALSE),"NOT_REQUIRED")</x:f>
        <x:v>NOT_REQUIRED</x:v>
      </x:c>
      <x:c r="O38" s="42" t="str">
        <x:f>IFERROR(VLOOKUP($A38,'05_贷后表现'!$A$5:$J$137,2,FALSE),"N")</x:f>
        <x:v>N</x:v>
      </x:c>
      <x:c r="P38" s="42" t="str">
        <x:f>IFERROR(VLOOKUP($A38,'05_贷后表现'!$A$5:$J$137,6,FALSE),"")</x:f>
      </x:c>
      <x:c r="Q38" s="42" t="str">
        <x:f>IFERROR(VLOOKUP($A38,'05_贷后表现'!$A$5:$J$137,7,FALSE),"")</x:f>
      </x:c>
      <x:c r="R38" s="45" t="str">
        <x:f>IFERROR(VLOOKUP($A38,'05_贷后表现'!$A$5:$J$137,8,FALSE),"")</x:f>
      </x:c>
      <x:c r="S38" s="35" t="str">
        <x:f>IF(F38&lt;500,"REJECT",IF(OR(I38&gt;=2,J38&gt;60),"REJECT",IF(F38&lt;560,"REVIEW",IF(G38="","REVIEW",IF(AND(L38&lt;&gt;"Y",G38&gt;0.7),"REVIEW","PASS")))))</x:f>
        <x:v>PASS</x:v>
      </x:c>
      <x:c r="T38" s="35" t="str">
        <x:f>M38&amp;"→"&amp;S38</x:f>
        <x:v>PASS→PASS</x:v>
      </x:c>
    </x:row>
    <x:row r="39">
      <x:c r="A39" s="42" t="str">
        <x:v>APP2025000035</x:v>
      </x:c>
      <x:c r="B39" s="43" t="n">
        <x:f>VLOOKUP($A39,'01_申请数据'!$A$5:$L$204,3,FALSE)</x:f>
        <x:v>45757.64097222222</x:v>
      </x:c>
      <x:c r="C39" s="44" t="n">
        <x:f>VLOOKUP($A39,'01_申请数据'!$A$5:$L$204,5,FALSE)</x:f>
        <x:v>95000</x:v>
      </x:c>
      <x:c r="D39" s="45" t="n">
        <x:f>VLOOKUP($A39,'01_申请数据'!$A$5:$L$204,6,FALSE)</x:f>
        <x:v>12</x:v>
      </x:c>
      <x:c r="E39" s="44" t="n">
        <x:f>VLOOKUP($A39,'01_申请数据'!$A$5:$L$204,10,FALSE)</x:f>
        <x:v>14600</x:v>
      </x:c>
      <x:c r="F39" s="45" t="n">
        <x:f>VLOOKUP($A39,'02_征信特征'!$A$5:$J$204,3,FALSE)</x:f>
        <x:v>646</x:v>
      </x:c>
      <x:c r="G39" s="46" t="n">
        <x:f>VLOOKUP($A39,'02_征信特征'!$A$5:$J$204,4,FALSE)</x:f>
        <x:v>0.583</x:v>
      </x:c>
      <x:c r="H39" s="45" t="n">
        <x:f>VLOOKUP($A39,'02_征信特征'!$A$5:$J$204,5,FALSE)</x:f>
        <x:v>3</x:v>
      </x:c>
      <x:c r="I39" s="45" t="n">
        <x:f>VLOOKUP($A39,'02_征信特征'!$A$5:$J$204,6,FALSE)</x:f>
        <x:v>0</x:v>
      </x:c>
      <x:c r="J39" s="45" t="n">
        <x:f>VLOOKUP($A39,'02_征信特征'!$A$5:$J$204,7,FALSE)</x:f>
        <x:v>0</x:v>
      </x:c>
      <x:c r="K39" s="45" t="n">
        <x:f>VLOOKUP($A39,'02_征信特征'!$A$5:$J$204,8,FALSE)</x:f>
        <x:v>4</x:v>
      </x:c>
      <x:c r="L39" s="42" t="str">
        <x:f>VLOOKUP($A39,'02_征信特征'!$A$5:$J$204,9,FALSE)</x:f>
        <x:v>N</x:v>
      </x:c>
      <x:c r="M39" s="42" t="str">
        <x:f>VLOOKUP($A39,'03_决策日志'!$A$5:$G$204,4,FALSE)</x:f>
        <x:v>PASS</x:v>
      </x:c>
      <x:c r="N39" s="42" t="str">
        <x:f>IFERROR(VLOOKUP($A39,'04_人工审核'!$A$5:$H$57,6,FALSE),"NOT_REQUIRED")</x:f>
        <x:v>NOT_REQUIRED</x:v>
      </x:c>
      <x:c r="O39" s="42" t="str">
        <x:f>IFERROR(VLOOKUP($A39,'05_贷后表现'!$A$5:$J$137,2,FALSE),"N")</x:f>
        <x:v>Y</x:v>
      </x:c>
      <x:c r="P39" s="42" t="str">
        <x:f>IFERROR(VLOOKUP($A39,'05_贷后表现'!$A$5:$J$137,6,FALSE),"")</x:f>
        <x:v>N</x:v>
      </x:c>
      <x:c r="Q39" s="42" t="str">
        <x:f>IFERROR(VLOOKUP($A39,'05_贷后表现'!$A$5:$J$137,7,FALSE),"")</x:f>
        <x:v>N</x:v>
      </x:c>
      <x:c r="R39" s="45" t="n">
        <x:f>IFERROR(VLOOKUP($A39,'05_贷后表现'!$A$5:$J$137,8,FALSE),"")</x:f>
        <x:v>11</x:v>
      </x:c>
      <x:c r="S39" s="35" t="str">
        <x:f>IF(F39&lt;500,"REJECT",IF(OR(I39&gt;=2,J39&gt;60),"REJECT",IF(F39&lt;560,"REVIEW",IF(G39="","REVIEW",IF(AND(L39&lt;&gt;"Y",G39&gt;0.7),"REVIEW","PASS")))))</x:f>
        <x:v>PASS</x:v>
      </x:c>
      <x:c r="T39" s="35" t="str">
        <x:f>M39&amp;"→"&amp;S39</x:f>
        <x:v>PASS→PASS</x:v>
      </x:c>
    </x:row>
    <x:row r="40">
      <x:c r="A40" s="42" t="str">
        <x:v>APP2025000036</x:v>
      </x:c>
      <x:c r="B40" s="43" t="n">
        <x:f>VLOOKUP($A40,'01_申请数据'!$A$5:$L$204,3,FALSE)</x:f>
        <x:v>45698.384722222225</x:v>
      </x:c>
      <x:c r="C40" s="44" t="n">
        <x:f>VLOOKUP($A40,'01_申请数据'!$A$5:$L$204,5,FALSE)</x:f>
        <x:v>30000</x:v>
      </x:c>
      <x:c r="D40" s="45" t="n">
        <x:f>VLOOKUP($A40,'01_申请数据'!$A$5:$L$204,6,FALSE)</x:f>
        <x:v>6</x:v>
      </x:c>
      <x:c r="E40" s="44" t="n">
        <x:f>VLOOKUP($A40,'01_申请数据'!$A$5:$L$204,10,FALSE)</x:f>
        <x:v>27200</x:v>
      </x:c>
      <x:c r="F40" s="45" t="n">
        <x:f>VLOOKUP($A40,'02_征信特征'!$A$5:$J$204,3,FALSE)</x:f>
        <x:v>596</x:v>
      </x:c>
      <x:c r="G40" s="46" t="n">
        <x:f>VLOOKUP($A40,'02_征信特征'!$A$5:$J$204,4,FALSE)</x:f>
        <x:v>0.808</x:v>
      </x:c>
      <x:c r="H40" s="45" t="n">
        <x:f>VLOOKUP($A40,'02_征信特征'!$A$5:$J$204,5,FALSE)</x:f>
        <x:v>5</x:v>
      </x:c>
      <x:c r="I40" s="45" t="n">
        <x:f>VLOOKUP($A40,'02_征信特征'!$A$5:$J$204,6,FALSE)</x:f>
        <x:v>1</x:v>
      </x:c>
      <x:c r="J40" s="45" t="n">
        <x:f>VLOOKUP($A40,'02_征信特征'!$A$5:$J$204,7,FALSE)</x:f>
        <x:v>51</x:v>
      </x:c>
      <x:c r="K40" s="45" t="n">
        <x:f>VLOOKUP($A40,'02_征信特征'!$A$5:$J$204,8,FALSE)</x:f>
        <x:v>11</x:v>
      </x:c>
      <x:c r="L40" s="42" t="str">
        <x:f>VLOOKUP($A40,'02_征信特征'!$A$5:$J$204,9,FALSE)</x:f>
        <x:v>N</x:v>
      </x:c>
      <x:c r="M40" s="42" t="str">
        <x:f>VLOOKUP($A40,'03_决策日志'!$A$5:$G$204,4,FALSE)</x:f>
        <x:v>REVIEW</x:v>
      </x:c>
      <x:c r="N40" s="42" t="str">
        <x:f>IFERROR(VLOOKUP($A40,'04_人工审核'!$A$5:$H$57,6,FALSE),"NOT_REQUIRED")</x:f>
        <x:v>DECLINE</x:v>
      </x:c>
      <x:c r="O40" s="42" t="str">
        <x:f>IFERROR(VLOOKUP($A40,'05_贷后表现'!$A$5:$J$137,2,FALSE),"N")</x:f>
        <x:v>N</x:v>
      </x:c>
      <x:c r="P40" s="42" t="str">
        <x:f>IFERROR(VLOOKUP($A40,'05_贷后表现'!$A$5:$J$137,6,FALSE),"")</x:f>
      </x:c>
      <x:c r="Q40" s="42" t="str">
        <x:f>IFERROR(VLOOKUP($A40,'05_贷后表现'!$A$5:$J$137,7,FALSE),"")</x:f>
      </x:c>
      <x:c r="R40" s="45" t="str">
        <x:f>IFERROR(VLOOKUP($A40,'05_贷后表现'!$A$5:$J$137,8,FALSE),"")</x:f>
      </x:c>
      <x:c r="S40" s="35" t="str">
        <x:f>IF(F40&lt;500,"REJECT",IF(OR(I40&gt;=2,J40&gt;60),"REJECT",IF(F40&lt;560,"REVIEW",IF(G40="","REVIEW",IF(AND(L40&lt;&gt;"Y",G40&gt;0.7),"REVIEW","PASS")))))</x:f>
        <x:v>REVIEW</x:v>
      </x:c>
      <x:c r="T40" s="35" t="str">
        <x:f>M40&amp;"→"&amp;S40</x:f>
        <x:v>REVIEW→REVIEW</x:v>
      </x:c>
    </x:row>
    <x:row r="41">
      <x:c r="A41" s="42" t="str">
        <x:v>APP2025000037</x:v>
      </x:c>
      <x:c r="B41" s="43" t="n">
        <x:f>VLOOKUP($A41,'01_申请数据'!$A$5:$L$204,3,FALSE)</x:f>
        <x:v>45829.680555555555</x:v>
      </x:c>
      <x:c r="C41" s="44" t="n">
        <x:f>VLOOKUP($A41,'01_申请数据'!$A$5:$L$204,5,FALSE)</x:f>
        <x:v>118000</x:v>
      </x:c>
      <x:c r="D41" s="45" t="n">
        <x:f>VLOOKUP($A41,'01_申请数据'!$A$5:$L$204,6,FALSE)</x:f>
        <x:v>12</x:v>
      </x:c>
      <x:c r="E41" s="44" t="n">
        <x:f>VLOOKUP($A41,'01_申请数据'!$A$5:$L$204,10,FALSE)</x:f>
        <x:v>24400</x:v>
      </x:c>
      <x:c r="F41" s="45" t="n">
        <x:f>VLOOKUP($A41,'02_征信特征'!$A$5:$J$204,3,FALSE)</x:f>
        <x:v>737</x:v>
      </x:c>
      <x:c r="G41" s="46" t="n">
        <x:f>VLOOKUP($A41,'02_征信特征'!$A$5:$J$204,4,FALSE)</x:f>
        <x:v>0.189</x:v>
      </x:c>
      <x:c r="H41" s="45" t="n">
        <x:f>VLOOKUP($A41,'02_征信特征'!$A$5:$J$204,5,FALSE)</x:f>
        <x:v>3</x:v>
      </x:c>
      <x:c r="I41" s="45" t="n">
        <x:f>VLOOKUP($A41,'02_征信特征'!$A$5:$J$204,6,FALSE)</x:f>
        <x:v>0</x:v>
      </x:c>
      <x:c r="J41" s="45" t="n">
        <x:f>VLOOKUP($A41,'02_征信特征'!$A$5:$J$204,7,FALSE)</x:f>
        <x:v>0</x:v>
      </x:c>
      <x:c r="K41" s="45" t="n">
        <x:f>VLOOKUP($A41,'02_征信特征'!$A$5:$J$204,8,FALSE)</x:f>
        <x:v>3</x:v>
      </x:c>
      <x:c r="L41" s="42" t="str">
        <x:f>VLOOKUP($A41,'02_征信特征'!$A$5:$J$204,9,FALSE)</x:f>
        <x:v>N</x:v>
      </x:c>
      <x:c r="M41" s="42" t="str">
        <x:f>VLOOKUP($A41,'03_决策日志'!$A$5:$G$204,4,FALSE)</x:f>
        <x:v>PASS</x:v>
      </x:c>
      <x:c r="N41" s="42" t="str">
        <x:f>IFERROR(VLOOKUP($A41,'04_人工审核'!$A$5:$H$57,6,FALSE),"NOT_REQUIRED")</x:f>
        <x:v>NOT_REQUIRED</x:v>
      </x:c>
      <x:c r="O41" s="42" t="str">
        <x:f>IFERROR(VLOOKUP($A41,'05_贷后表现'!$A$5:$J$137,2,FALSE),"N")</x:f>
        <x:v>N</x:v>
      </x:c>
      <x:c r="P41" s="42" t="str">
        <x:f>IFERROR(VLOOKUP($A41,'05_贷后表现'!$A$5:$J$137,6,FALSE),"")</x:f>
      </x:c>
      <x:c r="Q41" s="42" t="str">
        <x:f>IFERROR(VLOOKUP($A41,'05_贷后表现'!$A$5:$J$137,7,FALSE),"")</x:f>
      </x:c>
      <x:c r="R41" s="45" t="str">
        <x:f>IFERROR(VLOOKUP($A41,'05_贷后表现'!$A$5:$J$137,8,FALSE),"")</x:f>
      </x:c>
      <x:c r="S41" s="35" t="str">
        <x:f>IF(F41&lt;500,"REJECT",IF(OR(I41&gt;=2,J41&gt;60),"REJECT",IF(F41&lt;560,"REVIEW",IF(G41="","REVIEW",IF(AND(L41&lt;&gt;"Y",G41&gt;0.7),"REVIEW","PASS")))))</x:f>
        <x:v>PASS</x:v>
      </x:c>
      <x:c r="T41" s="35" t="str">
        <x:f>M41&amp;"→"&amp;S41</x:f>
        <x:v>PASS→PASS</x:v>
      </x:c>
    </x:row>
    <x:row r="42">
      <x:c r="A42" s="42" t="str">
        <x:v>APP2025000038</x:v>
      </x:c>
      <x:c r="B42" s="43" t="n">
        <x:f>VLOOKUP($A42,'01_申请数据'!$A$5:$L$204,3,FALSE)</x:f>
        <x:v>45823.74097222222</x:v>
      </x:c>
      <x:c r="C42" s="44" t="n">
        <x:f>VLOOKUP($A42,'01_申请数据'!$A$5:$L$204,5,FALSE)</x:f>
        <x:v>135000</x:v>
      </x:c>
      <x:c r="D42" s="45" t="n">
        <x:f>VLOOKUP($A42,'01_申请数据'!$A$5:$L$204,6,FALSE)</x:f>
        <x:v>18</x:v>
      </x:c>
      <x:c r="E42" s="44" t="n">
        <x:f>VLOOKUP($A42,'01_申请数据'!$A$5:$L$204,10,FALSE)</x:f>
        <x:v>22900</x:v>
      </x:c>
      <x:c r="F42" s="45" t="n">
        <x:f>VLOOKUP($A42,'02_征信特征'!$A$5:$J$204,3,FALSE)</x:f>
        <x:v>725</x:v>
      </x:c>
      <x:c r="G42" s="46" t="n">
        <x:f>VLOOKUP($A42,'02_征信特征'!$A$5:$J$204,4,FALSE)</x:f>
        <x:v>0.218</x:v>
      </x:c>
      <x:c r="H42" s="45" t="n">
        <x:f>VLOOKUP($A42,'02_征信特征'!$A$5:$J$204,5,FALSE)</x:f>
        <x:v>4</x:v>
      </x:c>
      <x:c r="I42" s="45" t="n">
        <x:f>VLOOKUP($A42,'02_征信特征'!$A$5:$J$204,6,FALSE)</x:f>
        <x:v>0</x:v>
      </x:c>
      <x:c r="J42" s="45" t="n">
        <x:f>VLOOKUP($A42,'02_征信特征'!$A$5:$J$204,7,FALSE)</x:f>
        <x:v>0</x:v>
      </x:c>
      <x:c r="K42" s="45" t="n">
        <x:f>VLOOKUP($A42,'02_征信特征'!$A$5:$J$204,8,FALSE)</x:f>
        <x:v>5</x:v>
      </x:c>
      <x:c r="L42" s="42" t="str">
        <x:f>VLOOKUP($A42,'02_征信特征'!$A$5:$J$204,9,FALSE)</x:f>
        <x:v>N</x:v>
      </x:c>
      <x:c r="M42" s="42" t="str">
        <x:f>VLOOKUP($A42,'03_决策日志'!$A$5:$G$204,4,FALSE)</x:f>
        <x:v>PASS</x:v>
      </x:c>
      <x:c r="N42" s="42" t="str">
        <x:f>IFERROR(VLOOKUP($A42,'04_人工审核'!$A$5:$H$57,6,FALSE),"NOT_REQUIRED")</x:f>
        <x:v>NOT_REQUIRED</x:v>
      </x:c>
      <x:c r="O42" s="42" t="str">
        <x:f>IFERROR(VLOOKUP($A42,'05_贷后表现'!$A$5:$J$137,2,FALSE),"N")</x:f>
        <x:v>Y</x:v>
      </x:c>
      <x:c r="P42" s="42" t="str">
        <x:f>IFERROR(VLOOKUP($A42,'05_贷后表现'!$A$5:$J$137,6,FALSE),"")</x:f>
        <x:v>N</x:v>
      </x:c>
      <x:c r="Q42" s="42" t="str">
        <x:f>IFERROR(VLOOKUP($A42,'05_贷后表现'!$A$5:$J$137,7,FALSE),"")</x:f>
        <x:v>N</x:v>
      </x:c>
      <x:c r="R42" s="45" t="n">
        <x:f>IFERROR(VLOOKUP($A42,'05_贷后表现'!$A$5:$J$137,8,FALSE),"")</x:f>
        <x:v>13</x:v>
      </x:c>
      <x:c r="S42" s="35" t="str">
        <x:f>IF(F42&lt;500,"REJECT",IF(OR(I42&gt;=2,J42&gt;60),"REJECT",IF(F42&lt;560,"REVIEW",IF(G42="","REVIEW",IF(AND(L42&lt;&gt;"Y",G42&gt;0.7),"REVIEW","PASS")))))</x:f>
        <x:v>PASS</x:v>
      </x:c>
      <x:c r="T42" s="35" t="str">
        <x:f>M42&amp;"→"&amp;S42</x:f>
        <x:v>PASS→PASS</x:v>
      </x:c>
    </x:row>
    <x:row r="43">
      <x:c r="A43" s="42" t="str">
        <x:v>APP2025000039</x:v>
      </x:c>
      <x:c r="B43" s="43" t="n">
        <x:f>VLOOKUP($A43,'01_申请数据'!$A$5:$L$204,3,FALSE)</x:f>
        <x:v>45742.53402777778</x:v>
      </x:c>
      <x:c r="C43" s="44" t="n">
        <x:f>VLOOKUP($A43,'01_申请数据'!$A$5:$L$204,5,FALSE)</x:f>
        <x:v>104000</x:v>
      </x:c>
      <x:c r="D43" s="45" t="n">
        <x:f>VLOOKUP($A43,'01_申请数据'!$A$5:$L$204,6,FALSE)</x:f>
        <x:v>24</x:v>
      </x:c>
      <x:c r="E43" s="44" t="n">
        <x:f>VLOOKUP($A43,'01_申请数据'!$A$5:$L$204,10,FALSE)</x:f>
        <x:v>22200</x:v>
      </x:c>
      <x:c r="F43" s="45" t="n">
        <x:f>VLOOKUP($A43,'02_征信特征'!$A$5:$J$204,3,FALSE)</x:f>
        <x:v>720</x:v>
      </x:c>
      <x:c r="G43" s="46" t="n">
        <x:f>VLOOKUP($A43,'02_征信特征'!$A$5:$J$204,4,FALSE)</x:f>
        <x:v>0.295</x:v>
      </x:c>
      <x:c r="H43" s="45" t="n">
        <x:f>VLOOKUP($A43,'02_征信特征'!$A$5:$J$204,5,FALSE)</x:f>
        <x:v>4</x:v>
      </x:c>
      <x:c r="I43" s="45" t="n">
        <x:f>VLOOKUP($A43,'02_征信特征'!$A$5:$J$204,6,FALSE)</x:f>
        <x:v>0</x:v>
      </x:c>
      <x:c r="J43" s="45" t="n">
        <x:f>VLOOKUP($A43,'02_征信特征'!$A$5:$J$204,7,FALSE)</x:f>
        <x:v>0</x:v>
      </x:c>
      <x:c r="K43" s="45" t="n">
        <x:f>VLOOKUP($A43,'02_征信特征'!$A$5:$J$204,8,FALSE)</x:f>
        <x:v>1</x:v>
      </x:c>
      <x:c r="L43" s="42" t="str">
        <x:f>VLOOKUP($A43,'02_征信特征'!$A$5:$J$204,9,FALSE)</x:f>
        <x:v>N</x:v>
      </x:c>
      <x:c r="M43" s="42" t="str">
        <x:f>VLOOKUP($A43,'03_决策日志'!$A$5:$G$204,4,FALSE)</x:f>
        <x:v>PASS</x:v>
      </x:c>
      <x:c r="N43" s="42" t="str">
        <x:f>IFERROR(VLOOKUP($A43,'04_人工审核'!$A$5:$H$57,6,FALSE),"NOT_REQUIRED")</x:f>
        <x:v>NOT_REQUIRED</x:v>
      </x:c>
      <x:c r="O43" s="42" t="str">
        <x:f>IFERROR(VLOOKUP($A43,'05_贷后表现'!$A$5:$J$137,2,FALSE),"N")</x:f>
        <x:v>Y</x:v>
      </x:c>
      <x:c r="P43" s="42" t="str">
        <x:f>IFERROR(VLOOKUP($A43,'05_贷后表现'!$A$5:$J$137,6,FALSE),"")</x:f>
        <x:v>N</x:v>
      </x:c>
      <x:c r="Q43" s="42" t="str">
        <x:f>IFERROR(VLOOKUP($A43,'05_贷后表现'!$A$5:$J$137,7,FALSE),"")</x:f>
        <x:v>N</x:v>
      </x:c>
      <x:c r="R43" s="45" t="n">
        <x:f>IFERROR(VLOOKUP($A43,'05_贷后表现'!$A$5:$J$137,8,FALSE),"")</x:f>
        <x:v>15</x:v>
      </x:c>
      <x:c r="S43" s="35" t="str">
        <x:f>IF(F43&lt;500,"REJECT",IF(OR(I43&gt;=2,J43&gt;60),"REJECT",IF(F43&lt;560,"REVIEW",IF(G43="","REVIEW",IF(AND(L43&lt;&gt;"Y",G43&gt;0.7),"REVIEW","PASS")))))</x:f>
        <x:v>PASS</x:v>
      </x:c>
      <x:c r="T43" s="35" t="str">
        <x:f>M43&amp;"→"&amp;S43</x:f>
        <x:v>PASS→PASS</x:v>
      </x:c>
    </x:row>
    <x:row r="44">
      <x:c r="A44" s="42" t="str">
        <x:v>APP2025000040</x:v>
      </x:c>
      <x:c r="B44" s="43" t="n">
        <x:f>VLOOKUP($A44,'01_申请数据'!$A$5:$L$204,3,FALSE)</x:f>
        <x:v>45754.72430555556</x:v>
      </x:c>
      <x:c r="C44" s="44" t="n">
        <x:f>VLOOKUP($A44,'01_申请数据'!$A$5:$L$204,5,FALSE)</x:f>
        <x:v>79000</x:v>
      </x:c>
      <x:c r="D44" s="45" t="n">
        <x:f>VLOOKUP($A44,'01_申请数据'!$A$5:$L$204,6,FALSE)</x:f>
        <x:v>24</x:v>
      </x:c>
      <x:c r="E44" s="44" t="n">
        <x:f>VLOOKUP($A44,'01_申请数据'!$A$5:$L$204,10,FALSE)</x:f>
        <x:v>14600</x:v>
      </x:c>
      <x:c r="F44" s="45" t="n">
        <x:f>VLOOKUP($A44,'02_征信特征'!$A$5:$J$204,3,FALSE)</x:f>
        <x:v>670</x:v>
      </x:c>
      <x:c r="G44" s="46" t="n">
        <x:f>VLOOKUP($A44,'02_征信特征'!$A$5:$J$204,4,FALSE)</x:f>
        <x:v>0.825</x:v>
      </x:c>
      <x:c r="H44" s="45" t="n">
        <x:f>VLOOKUP($A44,'02_征信特征'!$A$5:$J$204,5,FALSE)</x:f>
        <x:v>3</x:v>
      </x:c>
      <x:c r="I44" s="45" t="n">
        <x:f>VLOOKUP($A44,'02_征信特征'!$A$5:$J$204,6,FALSE)</x:f>
        <x:v>0</x:v>
      </x:c>
      <x:c r="J44" s="45" t="n">
        <x:f>VLOOKUP($A44,'02_征信特征'!$A$5:$J$204,7,FALSE)</x:f>
        <x:v>0</x:v>
      </x:c>
      <x:c r="K44" s="45" t="n">
        <x:f>VLOOKUP($A44,'02_征信特征'!$A$5:$J$204,8,FALSE)</x:f>
        <x:v>1</x:v>
      </x:c>
      <x:c r="L44" s="42" t="str">
        <x:f>VLOOKUP($A44,'02_征信特征'!$A$5:$J$204,9,FALSE)</x:f>
        <x:v>N</x:v>
      </x:c>
      <x:c r="M44" s="42" t="str">
        <x:f>VLOOKUP($A44,'03_决策日志'!$A$5:$G$204,4,FALSE)</x:f>
        <x:v>REVIEW</x:v>
      </x:c>
      <x:c r="N44" s="42" t="str">
        <x:f>IFERROR(VLOOKUP($A44,'04_人工审核'!$A$5:$H$57,6,FALSE),"NOT_REQUIRED")</x:f>
        <x:v>DECLINE</x:v>
      </x:c>
      <x:c r="O44" s="42" t="str">
        <x:f>IFERROR(VLOOKUP($A44,'05_贷后表现'!$A$5:$J$137,2,FALSE),"N")</x:f>
        <x:v>N</x:v>
      </x:c>
      <x:c r="P44" s="42" t="str">
        <x:f>IFERROR(VLOOKUP($A44,'05_贷后表现'!$A$5:$J$137,6,FALSE),"")</x:f>
      </x:c>
      <x:c r="Q44" s="42" t="str">
        <x:f>IFERROR(VLOOKUP($A44,'05_贷后表现'!$A$5:$J$137,7,FALSE),"")</x:f>
      </x:c>
      <x:c r="R44" s="45" t="str">
        <x:f>IFERROR(VLOOKUP($A44,'05_贷后表现'!$A$5:$J$137,8,FALSE),"")</x:f>
      </x:c>
      <x:c r="S44" s="35" t="str">
        <x:f>IF(F44&lt;500,"REJECT",IF(OR(I44&gt;=2,J44&gt;60),"REJECT",IF(F44&lt;560,"REVIEW",IF(G44="","REVIEW",IF(AND(L44&lt;&gt;"Y",G44&gt;0.7),"REVIEW","PASS")))))</x:f>
        <x:v>REVIEW</x:v>
      </x:c>
      <x:c r="T44" s="35" t="str">
        <x:f>M44&amp;"→"&amp;S44</x:f>
        <x:v>REVIEW→REVIEW</x:v>
      </x:c>
    </x:row>
    <x:row r="45">
      <x:c r="A45" s="42" t="str">
        <x:v>APP2025000041</x:v>
      </x:c>
      <x:c r="B45" s="43" t="n">
        <x:f>VLOOKUP($A45,'01_申请数据'!$A$5:$L$204,3,FALSE)</x:f>
        <x:v>45779.37777777778</x:v>
      </x:c>
      <x:c r="C45" s="44" t="n">
        <x:f>VLOOKUP($A45,'01_申请数据'!$A$5:$L$204,5,FALSE)</x:f>
        <x:v>47000</x:v>
      </x:c>
      <x:c r="D45" s="45" t="n">
        <x:f>VLOOKUP($A45,'01_申请数据'!$A$5:$L$204,6,FALSE)</x:f>
        <x:v>24</x:v>
      </x:c>
      <x:c r="E45" s="44" t="n">
        <x:f>VLOOKUP($A45,'01_申请数据'!$A$5:$L$204,10,FALSE)</x:f>
        <x:v>22600</x:v>
      </x:c>
      <x:c r="F45" s="45" t="n">
        <x:f>VLOOKUP($A45,'02_征信特征'!$A$5:$J$204,3,FALSE)</x:f>
        <x:v>686</x:v>
      </x:c>
      <x:c r="G45" s="46" t="n">
        <x:f>VLOOKUP($A45,'02_征信特征'!$A$5:$J$204,4,FALSE)</x:f>
        <x:v>0.199</x:v>
      </x:c>
      <x:c r="H45" s="45" t="n">
        <x:f>VLOOKUP($A45,'02_征信特征'!$A$5:$J$204,5,FALSE)</x:f>
        <x:v>1</x:v>
      </x:c>
      <x:c r="I45" s="45" t="n">
        <x:f>VLOOKUP($A45,'02_征信特征'!$A$5:$J$204,6,FALSE)</x:f>
        <x:v>0</x:v>
      </x:c>
      <x:c r="J45" s="45" t="n">
        <x:f>VLOOKUP($A45,'02_征信特征'!$A$5:$J$204,7,FALSE)</x:f>
        <x:v>0</x:v>
      </x:c>
      <x:c r="K45" s="45" t="n">
        <x:f>VLOOKUP($A45,'02_征信特征'!$A$5:$J$204,8,FALSE)</x:f>
        <x:v>1</x:v>
      </x:c>
      <x:c r="L45" s="42" t="str">
        <x:f>VLOOKUP($A45,'02_征信特征'!$A$5:$J$204,9,FALSE)</x:f>
        <x:v>N</x:v>
      </x:c>
      <x:c r="M45" s="42" t="str">
        <x:f>VLOOKUP($A45,'03_决策日志'!$A$5:$G$204,4,FALSE)</x:f>
        <x:v>PASS</x:v>
      </x:c>
      <x:c r="N45" s="42" t="str">
        <x:f>IFERROR(VLOOKUP($A45,'04_人工审核'!$A$5:$H$57,6,FALSE),"NOT_REQUIRED")</x:f>
        <x:v>NOT_REQUIRED</x:v>
      </x:c>
      <x:c r="O45" s="42" t="str">
        <x:f>IFERROR(VLOOKUP($A45,'05_贷后表现'!$A$5:$J$137,2,FALSE),"N")</x:f>
        <x:v>Y</x:v>
      </x:c>
      <x:c r="P45" s="42" t="str">
        <x:f>IFERROR(VLOOKUP($A45,'05_贷后表现'!$A$5:$J$137,6,FALSE),"")</x:f>
        <x:v>N</x:v>
      </x:c>
      <x:c r="Q45" s="42" t="str">
        <x:f>IFERROR(VLOOKUP($A45,'05_贷后表现'!$A$5:$J$137,7,FALSE),"")</x:f>
        <x:v>N</x:v>
      </x:c>
      <x:c r="R45" s="45" t="n">
        <x:f>IFERROR(VLOOKUP($A45,'05_贷后表现'!$A$5:$J$137,8,FALSE),"")</x:f>
        <x:v>6</x:v>
      </x:c>
      <x:c r="S45" s="35" t="str">
        <x:f>IF(F45&lt;500,"REJECT",IF(OR(I45&gt;=2,J45&gt;60),"REJECT",IF(F45&lt;560,"REVIEW",IF(G45="","REVIEW",IF(AND(L45&lt;&gt;"Y",G45&gt;0.7),"REVIEW","PASS")))))</x:f>
        <x:v>PASS</x:v>
      </x:c>
      <x:c r="T45" s="35" t="str">
        <x:f>M45&amp;"→"&amp;S45</x:f>
        <x:v>PASS→PASS</x:v>
      </x:c>
    </x:row>
    <x:row r="46">
      <x:c r="A46" s="42" t="str">
        <x:v>APP2025000042</x:v>
      </x:c>
      <x:c r="B46" s="43" t="n">
        <x:f>VLOOKUP($A46,'01_申请数据'!$A$5:$L$204,3,FALSE)</x:f>
        <x:v>45757.68541666667</x:v>
      </x:c>
      <x:c r="C46" s="44" t="n">
        <x:f>VLOOKUP($A46,'01_申请数据'!$A$5:$L$204,5,FALSE)</x:f>
        <x:v>104000</x:v>
      </x:c>
      <x:c r="D46" s="45" t="n">
        <x:f>VLOOKUP($A46,'01_申请数据'!$A$5:$L$204,6,FALSE)</x:f>
        <x:v>36</x:v>
      </x:c>
      <x:c r="E46" s="44" t="n">
        <x:f>VLOOKUP($A46,'01_申请数据'!$A$5:$L$204,10,FALSE)</x:f>
        <x:v>16200</x:v>
      </x:c>
      <x:c r="F46" s="45" t="n">
        <x:f>VLOOKUP($A46,'02_征信特征'!$A$5:$J$204,3,FALSE)</x:f>
        <x:v>677</x:v>
      </x:c>
      <x:c r="G46" s="46" t="n">
        <x:f>VLOOKUP($A46,'02_征信特征'!$A$5:$J$204,4,FALSE)</x:f>
        <x:v>0.826</x:v>
      </x:c>
      <x:c r="H46" s="45" t="n">
        <x:f>VLOOKUP($A46,'02_征信特征'!$A$5:$J$204,5,FALSE)</x:f>
        <x:v>2</x:v>
      </x:c>
      <x:c r="I46" s="45" t="n">
        <x:f>VLOOKUP($A46,'02_征信特征'!$A$5:$J$204,6,FALSE)</x:f>
        <x:v>0</x:v>
      </x:c>
      <x:c r="J46" s="45" t="n">
        <x:f>VLOOKUP($A46,'02_征信特征'!$A$5:$J$204,7,FALSE)</x:f>
        <x:v>0</x:v>
      </x:c>
      <x:c r="K46" s="45" t="n">
        <x:f>VLOOKUP($A46,'02_征信特征'!$A$5:$J$204,8,FALSE)</x:f>
        <x:v>7</x:v>
      </x:c>
      <x:c r="L46" s="42" t="str">
        <x:f>VLOOKUP($A46,'02_征信特征'!$A$5:$J$204,9,FALSE)</x:f>
        <x:v>Y</x:v>
      </x:c>
      <x:c r="M46" s="42" t="str">
        <x:f>VLOOKUP($A46,'03_决策日志'!$A$5:$G$204,4,FALSE)</x:f>
        <x:v>PASS</x:v>
      </x:c>
      <x:c r="N46" s="42" t="str">
        <x:f>IFERROR(VLOOKUP($A46,'04_人工审核'!$A$5:$H$57,6,FALSE),"NOT_REQUIRED")</x:f>
        <x:v>NOT_REQUIRED</x:v>
      </x:c>
      <x:c r="O46" s="42" t="str">
        <x:f>IFERROR(VLOOKUP($A46,'05_贷后表现'!$A$5:$J$137,2,FALSE),"N")</x:f>
        <x:v>Y</x:v>
      </x:c>
      <x:c r="P46" s="42" t="str">
        <x:f>IFERROR(VLOOKUP($A46,'05_贷后表现'!$A$5:$J$137,6,FALSE),"")</x:f>
        <x:v>N</x:v>
      </x:c>
      <x:c r="Q46" s="42" t="str">
        <x:f>IFERROR(VLOOKUP($A46,'05_贷后表现'!$A$5:$J$137,7,FALSE),"")</x:f>
        <x:v>N</x:v>
      </x:c>
      <x:c r="R46" s="45" t="n">
        <x:f>IFERROR(VLOOKUP($A46,'05_贷后表现'!$A$5:$J$137,8,FALSE),"")</x:f>
        <x:v>7</x:v>
      </x:c>
      <x:c r="S46" s="35" t="str">
        <x:f>IF(F46&lt;500,"REJECT",IF(OR(I46&gt;=2,J46&gt;60),"REJECT",IF(F46&lt;560,"REVIEW",IF(G46="","REVIEW",IF(AND(L46&lt;&gt;"Y",G46&gt;0.7),"REVIEW","PASS")))))</x:f>
        <x:v>PASS</x:v>
      </x:c>
      <x:c r="T46" s="35" t="str">
        <x:f>M46&amp;"→"&amp;S46</x:f>
        <x:v>PASS→PASS</x:v>
      </x:c>
    </x:row>
    <x:row r="47">
      <x:c r="A47" s="42" t="str">
        <x:v>APP2025000043</x:v>
      </x:c>
      <x:c r="B47" s="43" t="n">
        <x:f>VLOOKUP($A47,'01_申请数据'!$A$5:$L$204,3,FALSE)</x:f>
        <x:v>45817.73472222222</x:v>
      </x:c>
      <x:c r="C47" s="44" t="n">
        <x:f>VLOOKUP($A47,'01_申请数据'!$A$5:$L$204,5,FALSE)</x:f>
        <x:v>17000</x:v>
      </x:c>
      <x:c r="D47" s="45" t="n">
        <x:f>VLOOKUP($A47,'01_申请数据'!$A$5:$L$204,6,FALSE)</x:f>
        <x:v>6</x:v>
      </x:c>
      <x:c r="E47" s="44" t="n">
        <x:f>VLOOKUP($A47,'01_申请数据'!$A$5:$L$204,10,FALSE)</x:f>
        <x:v>27600</x:v>
      </x:c>
      <x:c r="F47" s="45" t="n">
        <x:f>VLOOKUP($A47,'02_征信特征'!$A$5:$J$204,3,FALSE)</x:f>
        <x:v>598</x:v>
      </x:c>
      <x:c r="G47" s="46" t="n">
        <x:f>VLOOKUP($A47,'02_征信特征'!$A$5:$J$204,4,FALSE)</x:f>
        <x:v>0.416</x:v>
      </x:c>
      <x:c r="H47" s="45" t="n">
        <x:f>VLOOKUP($A47,'02_征信特征'!$A$5:$J$204,5,FALSE)</x:f>
        <x:v>0</x:v>
      </x:c>
      <x:c r="I47" s="45" t="n">
        <x:f>VLOOKUP($A47,'02_征信特征'!$A$5:$J$204,6,FALSE)</x:f>
        <x:v>1</x:v>
      </x:c>
      <x:c r="J47" s="45" t="n">
        <x:f>VLOOKUP($A47,'02_征信特征'!$A$5:$J$204,7,FALSE)</x:f>
        <x:v>58</x:v>
      </x:c>
      <x:c r="K47" s="45" t="n">
        <x:f>VLOOKUP($A47,'02_征信特征'!$A$5:$J$204,8,FALSE)</x:f>
        <x:v>6</x:v>
      </x:c>
      <x:c r="L47" s="42" t="str">
        <x:f>VLOOKUP($A47,'02_征信特征'!$A$5:$J$204,9,FALSE)</x:f>
        <x:v>N</x:v>
      </x:c>
      <x:c r="M47" s="42" t="str">
        <x:f>VLOOKUP($A47,'03_决策日志'!$A$5:$G$204,4,FALSE)</x:f>
        <x:v>PASS</x:v>
      </x:c>
      <x:c r="N47" s="42" t="str">
        <x:f>IFERROR(VLOOKUP($A47,'04_人工审核'!$A$5:$H$57,6,FALSE),"NOT_REQUIRED")</x:f>
        <x:v>NOT_REQUIRED</x:v>
      </x:c>
      <x:c r="O47" s="42" t="str">
        <x:f>IFERROR(VLOOKUP($A47,'05_贷后表现'!$A$5:$J$137,2,FALSE),"N")</x:f>
        <x:v>Y</x:v>
      </x:c>
      <x:c r="P47" s="42" t="str">
        <x:f>IFERROR(VLOOKUP($A47,'05_贷后表现'!$A$5:$J$137,6,FALSE),"")</x:f>
        <x:v>N</x:v>
      </x:c>
      <x:c r="Q47" s="42" t="str">
        <x:f>IFERROR(VLOOKUP($A47,'05_贷后表现'!$A$5:$J$137,7,FALSE),"")</x:f>
        <x:v>N</x:v>
      </x:c>
      <x:c r="R47" s="45" t="n">
        <x:f>IFERROR(VLOOKUP($A47,'05_贷后表现'!$A$5:$J$137,8,FALSE),"")</x:f>
        <x:v>6</x:v>
      </x:c>
      <x:c r="S47" s="35" t="str">
        <x:f>IF(F47&lt;500,"REJECT",IF(OR(I47&gt;=2,J47&gt;60),"REJECT",IF(F47&lt;560,"REVIEW",IF(G47="","REVIEW",IF(AND(L47&lt;&gt;"Y",G47&gt;0.7),"REVIEW","PASS")))))</x:f>
        <x:v>PASS</x:v>
      </x:c>
      <x:c r="T47" s="35" t="str">
        <x:f>M47&amp;"→"&amp;S47</x:f>
        <x:v>PASS→PASS</x:v>
      </x:c>
    </x:row>
    <x:row r="48">
      <x:c r="A48" s="42" t="str">
        <x:v>APP2025000044</x:v>
      </x:c>
      <x:c r="B48" s="43" t="n">
        <x:f>VLOOKUP($A48,'01_申请数据'!$A$5:$L$204,3,FALSE)</x:f>
        <x:v>45703.46388888889</x:v>
      </x:c>
      <x:c r="C48" s="44" t="n">
        <x:f>VLOOKUP($A48,'01_申请数据'!$A$5:$L$204,5,FALSE)</x:f>
        <x:v>44000</x:v>
      </x:c>
      <x:c r="D48" s="45" t="n">
        <x:f>VLOOKUP($A48,'01_申请数据'!$A$5:$L$204,6,FALSE)</x:f>
        <x:v>18</x:v>
      </x:c>
      <x:c r="E48" s="44" t="n">
        <x:f>VLOOKUP($A48,'01_申请数据'!$A$5:$L$204,10,FALSE)</x:f>
        <x:v>6300</x:v>
      </x:c>
      <x:c r="F48" s="45" t="n">
        <x:f>VLOOKUP($A48,'02_征信特征'!$A$5:$J$204,3,FALSE)</x:f>
        <x:v>617</x:v>
      </x:c>
      <x:c r="G48" s="46" t="n">
        <x:f>VLOOKUP($A48,'02_征信特征'!$A$5:$J$204,4,FALSE)</x:f>
        <x:v>0.785</x:v>
      </x:c>
      <x:c r="H48" s="45" t="n">
        <x:f>VLOOKUP($A48,'02_征信特征'!$A$5:$J$204,5,FALSE)</x:f>
        <x:v>0</x:v>
      </x:c>
      <x:c r="I48" s="45" t="n">
        <x:f>VLOOKUP($A48,'02_征信特征'!$A$5:$J$204,6,FALSE)</x:f>
        <x:v>0</x:v>
      </x:c>
      <x:c r="J48" s="45" t="n">
        <x:f>VLOOKUP($A48,'02_征信特征'!$A$5:$J$204,7,FALSE)</x:f>
        <x:v>0</x:v>
      </x:c>
      <x:c r="K48" s="45" t="n">
        <x:f>VLOOKUP($A48,'02_征信特征'!$A$5:$J$204,8,FALSE)</x:f>
        <x:v>7</x:v>
      </x:c>
      <x:c r="L48" s="42" t="str">
        <x:f>VLOOKUP($A48,'02_征信特征'!$A$5:$J$204,9,FALSE)</x:f>
        <x:v>N</x:v>
      </x:c>
      <x:c r="M48" s="42" t="str">
        <x:f>VLOOKUP($A48,'03_决策日志'!$A$5:$G$204,4,FALSE)</x:f>
        <x:v>PASS</x:v>
      </x:c>
      <x:c r="N48" s="42" t="str">
        <x:f>IFERROR(VLOOKUP($A48,'04_人工审核'!$A$5:$H$57,6,FALSE),"NOT_REQUIRED")</x:f>
        <x:v>NOT_REQUIRED</x:v>
      </x:c>
      <x:c r="O48" s="42" t="str">
        <x:f>IFERROR(VLOOKUP($A48,'05_贷后表现'!$A$5:$J$137,2,FALSE),"N")</x:f>
        <x:v>Y</x:v>
      </x:c>
      <x:c r="P48" s="42" t="str">
        <x:f>IFERROR(VLOOKUP($A48,'05_贷后表现'!$A$5:$J$137,6,FALSE),"")</x:f>
        <x:v>N</x:v>
      </x:c>
      <x:c r="Q48" s="42" t="str">
        <x:f>IFERROR(VLOOKUP($A48,'05_贷后表现'!$A$5:$J$137,7,FALSE),"")</x:f>
        <x:v>N</x:v>
      </x:c>
      <x:c r="R48" s="45" t="n">
        <x:f>IFERROR(VLOOKUP($A48,'05_贷后表现'!$A$5:$J$137,8,FALSE),"")</x:f>
        <x:v>10</x:v>
      </x:c>
      <x:c r="S48" s="35" t="str">
        <x:f>IF(F48&lt;500,"REJECT",IF(OR(I48&gt;=2,J48&gt;60),"REJECT",IF(F48&lt;560,"REVIEW",IF(G48="","REVIEW",IF(AND(L48&lt;&gt;"Y",G48&gt;0.7),"REVIEW","PASS")))))</x:f>
        <x:v>REVIEW</x:v>
      </x:c>
      <x:c r="T48" s="35" t="str">
        <x:f>M48&amp;"→"&amp;S48</x:f>
        <x:v>PASS→REVIEW</x:v>
      </x:c>
    </x:row>
    <x:row r="49">
      <x:c r="A49" s="42" t="str">
        <x:v>APP2025000045</x:v>
      </x:c>
      <x:c r="B49" s="43" t="n">
        <x:f>VLOOKUP($A49,'01_申请数据'!$A$5:$L$204,3,FALSE)</x:f>
        <x:v>45693.44652777778</x:v>
      </x:c>
      <x:c r="C49" s="44" t="n">
        <x:f>VLOOKUP($A49,'01_申请数据'!$A$5:$L$204,5,FALSE)</x:f>
        <x:v>110000</x:v>
      </x:c>
      <x:c r="D49" s="45" t="n">
        <x:f>VLOOKUP($A49,'01_申请数据'!$A$5:$L$204,6,FALSE)</x:f>
        <x:v>18</x:v>
      </x:c>
      <x:c r="E49" s="44" t="n">
        <x:f>VLOOKUP($A49,'01_申请数据'!$A$5:$L$204,10,FALSE)</x:f>
        <x:v>8800</x:v>
      </x:c>
      <x:c r="F49" s="45" t="n">
        <x:f>VLOOKUP($A49,'02_征信特征'!$A$5:$J$204,3,FALSE)</x:f>
        <x:v>734</x:v>
      </x:c>
      <x:c r="G49" s="46" t="n">
        <x:f>VLOOKUP($A49,'02_征信特征'!$A$5:$J$204,4,FALSE)</x:f>
        <x:v>0.23</x:v>
      </x:c>
      <x:c r="H49" s="45" t="n">
        <x:f>VLOOKUP($A49,'02_征信特征'!$A$5:$J$204,5,FALSE)</x:f>
        <x:v>1</x:v>
      </x:c>
      <x:c r="I49" s="45" t="n">
        <x:f>VLOOKUP($A49,'02_征信特征'!$A$5:$J$204,6,FALSE)</x:f>
        <x:v>0</x:v>
      </x:c>
      <x:c r="J49" s="45" t="n">
        <x:f>VLOOKUP($A49,'02_征信特征'!$A$5:$J$204,7,FALSE)</x:f>
        <x:v>0</x:v>
      </x:c>
      <x:c r="K49" s="45" t="n">
        <x:f>VLOOKUP($A49,'02_征信特征'!$A$5:$J$204,8,FALSE)</x:f>
        <x:v>7</x:v>
      </x:c>
      <x:c r="L49" s="42" t="str">
        <x:f>VLOOKUP($A49,'02_征信特征'!$A$5:$J$204,9,FALSE)</x:f>
        <x:v>N</x:v>
      </x:c>
      <x:c r="M49" s="42" t="str">
        <x:f>VLOOKUP($A49,'03_决策日志'!$A$5:$G$204,4,FALSE)</x:f>
        <x:v>PASS</x:v>
      </x:c>
      <x:c r="N49" s="42" t="str">
        <x:f>IFERROR(VLOOKUP($A49,'04_人工审核'!$A$5:$H$57,6,FALSE),"NOT_REQUIRED")</x:f>
        <x:v>NOT_REQUIRED</x:v>
      </x:c>
      <x:c r="O49" s="42" t="str">
        <x:f>IFERROR(VLOOKUP($A49,'05_贷后表现'!$A$5:$J$137,2,FALSE),"N")</x:f>
        <x:v>Y</x:v>
      </x:c>
      <x:c r="P49" s="42" t="str">
        <x:f>IFERROR(VLOOKUP($A49,'05_贷后表现'!$A$5:$J$137,6,FALSE),"")</x:f>
        <x:v>N</x:v>
      </x:c>
      <x:c r="Q49" s="42" t="str">
        <x:f>IFERROR(VLOOKUP($A49,'05_贷后表现'!$A$5:$J$137,7,FALSE),"")</x:f>
        <x:v>N</x:v>
      </x:c>
      <x:c r="R49" s="45" t="n">
        <x:f>IFERROR(VLOOKUP($A49,'05_贷后表现'!$A$5:$J$137,8,FALSE),"")</x:f>
        <x:v>15</x:v>
      </x:c>
      <x:c r="S49" s="35" t="str">
        <x:f>IF(F49&lt;500,"REJECT",IF(OR(I49&gt;=2,J49&gt;60),"REJECT",IF(F49&lt;560,"REVIEW",IF(G49="","REVIEW",IF(AND(L49&lt;&gt;"Y",G49&gt;0.7),"REVIEW","PASS")))))</x:f>
        <x:v>PASS</x:v>
      </x:c>
      <x:c r="T49" s="35" t="str">
        <x:f>M49&amp;"→"&amp;S49</x:f>
        <x:v>PASS→PASS</x:v>
      </x:c>
    </x:row>
    <x:row r="50">
      <x:c r="A50" s="42" t="str">
        <x:v>APP2025000046</x:v>
      </x:c>
      <x:c r="B50" s="43" t="n">
        <x:f>VLOOKUP($A50,'01_申请数据'!$A$5:$L$204,3,FALSE)</x:f>
        <x:v>45792.56875</x:v>
      </x:c>
      <x:c r="C50" s="44" t="n">
        <x:f>VLOOKUP($A50,'01_申请数据'!$A$5:$L$204,5,FALSE)</x:f>
        <x:v>72000</x:v>
      </x:c>
      <x:c r="D50" s="45" t="n">
        <x:f>VLOOKUP($A50,'01_申请数据'!$A$5:$L$204,6,FALSE)</x:f>
        <x:v>24</x:v>
      </x:c>
      <x:c r="E50" s="44" t="n">
        <x:f>VLOOKUP($A50,'01_申请数据'!$A$5:$L$204,10,FALSE)</x:f>
        <x:v>23700</x:v>
      </x:c>
      <x:c r="F50" s="45" t="n">
        <x:f>VLOOKUP($A50,'02_征信特征'!$A$5:$J$204,3,FALSE)</x:f>
        <x:v>560</x:v>
      </x:c>
      <x:c r="G50" s="46" t="n">
        <x:f>VLOOKUP($A50,'02_征信特征'!$A$5:$J$204,4,FALSE)</x:f>
        <x:v>0.49</x:v>
      </x:c>
      <x:c r="H50" s="45" t="n">
        <x:f>VLOOKUP($A50,'02_征信特征'!$A$5:$J$204,5,FALSE)</x:f>
        <x:v>0</x:v>
      </x:c>
      <x:c r="I50" s="45" t="n">
        <x:f>VLOOKUP($A50,'02_征信特征'!$A$5:$J$204,6,FALSE)</x:f>
        <x:v>4</x:v>
      </x:c>
      <x:c r="J50" s="45" t="n">
        <x:f>VLOOKUP($A50,'02_征信特征'!$A$5:$J$204,7,FALSE)</x:f>
        <x:v>6</x:v>
      </x:c>
      <x:c r="K50" s="45" t="n">
        <x:f>VLOOKUP($A50,'02_征信特征'!$A$5:$J$204,8,FALSE)</x:f>
        <x:v>2</x:v>
      </x:c>
      <x:c r="L50" s="42" t="str">
        <x:f>VLOOKUP($A50,'02_征信特征'!$A$5:$J$204,9,FALSE)</x:f>
        <x:v>N</x:v>
      </x:c>
      <x:c r="M50" s="42" t="str">
        <x:f>VLOOKUP($A50,'03_决策日志'!$A$5:$G$204,4,FALSE)</x:f>
        <x:v>REJECT</x:v>
      </x:c>
      <x:c r="N50" s="42" t="str">
        <x:f>IFERROR(VLOOKUP($A50,'04_人工审核'!$A$5:$H$57,6,FALSE),"NOT_REQUIRED")</x:f>
        <x:v>NOT_REQUIRED</x:v>
      </x:c>
      <x:c r="O50" s="42" t="str">
        <x:f>IFERROR(VLOOKUP($A50,'05_贷后表现'!$A$5:$J$137,2,FALSE),"N")</x:f>
        <x:v>N</x:v>
      </x:c>
      <x:c r="P50" s="42" t="str">
        <x:f>IFERROR(VLOOKUP($A50,'05_贷后表现'!$A$5:$J$137,6,FALSE),"")</x:f>
      </x:c>
      <x:c r="Q50" s="42" t="str">
        <x:f>IFERROR(VLOOKUP($A50,'05_贷后表现'!$A$5:$J$137,7,FALSE),"")</x:f>
      </x:c>
      <x:c r="R50" s="45" t="str">
        <x:f>IFERROR(VLOOKUP($A50,'05_贷后表现'!$A$5:$J$137,8,FALSE),"")</x:f>
      </x:c>
      <x:c r="S50" s="35" t="str">
        <x:f>IF(F50&lt;500,"REJECT",IF(OR(I50&gt;=2,J50&gt;60),"REJECT",IF(F50&lt;560,"REVIEW",IF(G50="","REVIEW",IF(AND(L50&lt;&gt;"Y",G50&gt;0.7),"REVIEW","PASS")))))</x:f>
        <x:v>REJECT</x:v>
      </x:c>
      <x:c r="T50" s="35" t="str">
        <x:f>M50&amp;"→"&amp;S50</x:f>
        <x:v>REJECT→REJECT</x:v>
      </x:c>
    </x:row>
    <x:row r="51">
      <x:c r="A51" s="42" t="str">
        <x:v>APP2025000047</x:v>
      </x:c>
      <x:c r="B51" s="43" t="n">
        <x:f>VLOOKUP($A51,'01_申请数据'!$A$5:$L$204,3,FALSE)</x:f>
        <x:v>45794.62986111111</x:v>
      </x:c>
      <x:c r="C51" s="44" t="n">
        <x:f>VLOOKUP($A51,'01_申请数据'!$A$5:$L$204,5,FALSE)</x:f>
        <x:v>127000</x:v>
      </x:c>
      <x:c r="D51" s="45" t="n">
        <x:f>VLOOKUP($A51,'01_申请数据'!$A$5:$L$204,6,FALSE)</x:f>
        <x:v>6</x:v>
      </x:c>
      <x:c r="E51" s="44" t="n">
        <x:f>VLOOKUP($A51,'01_申请数据'!$A$5:$L$204,10,FALSE)</x:f>
        <x:v>12200</x:v>
      </x:c>
      <x:c r="F51" s="45" t="n">
        <x:f>VLOOKUP($A51,'02_征信特征'!$A$5:$J$204,3,FALSE)</x:f>
        <x:v>606</x:v>
      </x:c>
      <x:c r="G51" s="46" t="n">
        <x:f>VLOOKUP($A51,'02_征信特征'!$A$5:$J$204,4,FALSE)</x:f>
        <x:v>0.435</x:v>
      </x:c>
      <x:c r="H51" s="45" t="n">
        <x:f>VLOOKUP($A51,'02_征信特征'!$A$5:$J$204,5,FALSE)</x:f>
        <x:v>4</x:v>
      </x:c>
      <x:c r="I51" s="45" t="n">
        <x:f>VLOOKUP($A51,'02_征信特征'!$A$5:$J$204,6,FALSE)</x:f>
        <x:v>2</x:v>
      </x:c>
      <x:c r="J51" s="45" t="n">
        <x:f>VLOOKUP($A51,'02_征信特征'!$A$5:$J$204,7,FALSE)</x:f>
        <x:v>60</x:v>
      </x:c>
      <x:c r="K51" s="45" t="n">
        <x:f>VLOOKUP($A51,'02_征信特征'!$A$5:$J$204,8,FALSE)</x:f>
        <x:v>0</x:v>
      </x:c>
      <x:c r="L51" s="42" t="str">
        <x:f>VLOOKUP($A51,'02_征信特征'!$A$5:$J$204,9,FALSE)</x:f>
        <x:v>N</x:v>
      </x:c>
      <x:c r="M51" s="42" t="str">
        <x:f>VLOOKUP($A51,'03_决策日志'!$A$5:$G$204,4,FALSE)</x:f>
        <x:v>PASS</x:v>
      </x:c>
      <x:c r="N51" s="42" t="str">
        <x:f>IFERROR(VLOOKUP($A51,'04_人工审核'!$A$5:$H$57,6,FALSE),"NOT_REQUIRED")</x:f>
        <x:v>NOT_REQUIRED</x:v>
      </x:c>
      <x:c r="O51" s="42" t="str">
        <x:f>IFERROR(VLOOKUP($A51,'05_贷后表现'!$A$5:$J$137,2,FALSE),"N")</x:f>
        <x:v>Y</x:v>
      </x:c>
      <x:c r="P51" s="42" t="str">
        <x:f>IFERROR(VLOOKUP($A51,'05_贷后表现'!$A$5:$J$137,6,FALSE),"")</x:f>
        <x:v>N</x:v>
      </x:c>
      <x:c r="Q51" s="42" t="str">
        <x:f>IFERROR(VLOOKUP($A51,'05_贷后表现'!$A$5:$J$137,7,FALSE),"")</x:f>
        <x:v>N</x:v>
      </x:c>
      <x:c r="R51" s="45" t="n">
        <x:f>IFERROR(VLOOKUP($A51,'05_贷后表现'!$A$5:$J$137,8,FALSE),"")</x:f>
        <x:v>15</x:v>
      </x:c>
      <x:c r="S51" s="35" t="str">
        <x:f>IF(F51&lt;500,"REJECT",IF(OR(I51&gt;=2,J51&gt;60),"REJECT",IF(F51&lt;560,"REVIEW",IF(G51="","REVIEW",IF(AND(L51&lt;&gt;"Y",G51&gt;0.7),"REVIEW","PASS")))))</x:f>
        <x:v>REJECT</x:v>
      </x:c>
      <x:c r="T51" s="35" t="str">
        <x:f>M51&amp;"→"&amp;S51</x:f>
        <x:v>PASS→REJECT</x:v>
      </x:c>
    </x:row>
    <x:row r="52">
      <x:c r="A52" s="42" t="str">
        <x:v>APP2025000048</x:v>
      </x:c>
      <x:c r="B52" s="43" t="n">
        <x:f>VLOOKUP($A52,'01_申请数据'!$A$5:$L$204,3,FALSE)</x:f>
        <x:v>45836.42152777778</x:v>
      </x:c>
      <x:c r="C52" s="44" t="n">
        <x:f>VLOOKUP($A52,'01_申请数据'!$A$5:$L$204,5,FALSE)</x:f>
        <x:v>112000</x:v>
      </x:c>
      <x:c r="D52" s="45" t="n">
        <x:f>VLOOKUP($A52,'01_申请数据'!$A$5:$L$204,6,FALSE)</x:f>
        <x:v>18</x:v>
      </x:c>
      <x:c r="E52" s="44" t="n">
        <x:f>VLOOKUP($A52,'01_申请数据'!$A$5:$L$204,10,FALSE)</x:f>
        <x:v>5500</x:v>
      </x:c>
      <x:c r="F52" s="45" t="n">
        <x:f>VLOOKUP($A52,'02_征信特征'!$A$5:$J$204,3,FALSE)</x:f>
        <x:v>430</x:v>
      </x:c>
      <x:c r="G52" s="46" t="n">
        <x:f>VLOOKUP($A52,'02_征信特征'!$A$5:$J$204,4,FALSE)</x:f>
        <x:v>0.668</x:v>
      </x:c>
      <x:c r="H52" s="45" t="n">
        <x:f>VLOOKUP($A52,'02_征信特征'!$A$5:$J$204,5,FALSE)</x:f>
        <x:v>3</x:v>
      </x:c>
      <x:c r="I52" s="45" t="n">
        <x:f>VLOOKUP($A52,'02_征信特征'!$A$5:$J$204,6,FALSE)</x:f>
        <x:v>5</x:v>
      </x:c>
      <x:c r="J52" s="45" t="n">
        <x:f>VLOOKUP($A52,'02_征信特征'!$A$5:$J$204,7,FALSE)</x:f>
        <x:v>57</x:v>
      </x:c>
      <x:c r="K52" s="45" t="n">
        <x:f>VLOOKUP($A52,'02_征信特征'!$A$5:$J$204,8,FALSE)</x:f>
        <x:v>11</x:v>
      </x:c>
      <x:c r="L52" s="42" t="str">
        <x:f>VLOOKUP($A52,'02_征信特征'!$A$5:$J$204,9,FALSE)</x:f>
        <x:v>Y</x:v>
      </x:c>
      <x:c r="M52" s="42" t="str">
        <x:f>VLOOKUP($A52,'03_决策日志'!$A$5:$G$204,4,FALSE)</x:f>
        <x:v>REJECT</x:v>
      </x:c>
      <x:c r="N52" s="42" t="str">
        <x:f>IFERROR(VLOOKUP($A52,'04_人工审核'!$A$5:$H$57,6,FALSE),"NOT_REQUIRED")</x:f>
        <x:v>NOT_REQUIRED</x:v>
      </x:c>
      <x:c r="O52" s="42" t="str">
        <x:f>IFERROR(VLOOKUP($A52,'05_贷后表现'!$A$5:$J$137,2,FALSE),"N")</x:f>
        <x:v>N</x:v>
      </x:c>
      <x:c r="P52" s="42" t="str">
        <x:f>IFERROR(VLOOKUP($A52,'05_贷后表现'!$A$5:$J$137,6,FALSE),"")</x:f>
      </x:c>
      <x:c r="Q52" s="42" t="str">
        <x:f>IFERROR(VLOOKUP($A52,'05_贷后表现'!$A$5:$J$137,7,FALSE),"")</x:f>
      </x:c>
      <x:c r="R52" s="45" t="str">
        <x:f>IFERROR(VLOOKUP($A52,'05_贷后表现'!$A$5:$J$137,8,FALSE),"")</x:f>
      </x:c>
      <x:c r="S52" s="35" t="str">
        <x:f>IF(F52&lt;500,"REJECT",IF(OR(I52&gt;=2,J52&gt;60),"REJECT",IF(F52&lt;560,"REVIEW",IF(G52="","REVIEW",IF(AND(L52&lt;&gt;"Y",G52&gt;0.7),"REVIEW","PASS")))))</x:f>
        <x:v>REJECT</x:v>
      </x:c>
      <x:c r="T52" s="35" t="str">
        <x:f>M52&amp;"→"&amp;S52</x:f>
        <x:v>REJECT→REJECT</x:v>
      </x:c>
    </x:row>
    <x:row r="53">
      <x:c r="A53" s="42" t="str">
        <x:v>APP2025000049</x:v>
      </x:c>
      <x:c r="B53" s="43" t="n">
        <x:f>VLOOKUP($A53,'01_申请数据'!$A$5:$L$204,3,FALSE)</x:f>
        <x:v>45693.63263888889</x:v>
      </x:c>
      <x:c r="C53" s="44" t="n">
        <x:f>VLOOKUP($A53,'01_申请数据'!$A$5:$L$204,5,FALSE)</x:f>
        <x:v>27000</x:v>
      </x:c>
      <x:c r="D53" s="45" t="n">
        <x:f>VLOOKUP($A53,'01_申请数据'!$A$5:$L$204,6,FALSE)</x:f>
        <x:v>6</x:v>
      </x:c>
      <x:c r="E53" s="44" t="n">
        <x:f>VLOOKUP($A53,'01_申请数据'!$A$5:$L$204,10,FALSE)</x:f>
        <x:v>24900</x:v>
      </x:c>
      <x:c r="F53" s="45" t="n">
        <x:f>VLOOKUP($A53,'02_征信特征'!$A$5:$J$204,3,FALSE)</x:f>
        <x:v>625</x:v>
      </x:c>
      <x:c r="G53" s="46" t="n">
        <x:f>VLOOKUP($A53,'02_征信特征'!$A$5:$J$204,4,FALSE)</x:f>
        <x:v>0.879</x:v>
      </x:c>
      <x:c r="H53" s="45" t="n">
        <x:f>VLOOKUP($A53,'02_征信特征'!$A$5:$J$204,5,FALSE)</x:f>
        <x:v>1</x:v>
      </x:c>
      <x:c r="I53" s="45" t="n">
        <x:f>VLOOKUP($A53,'02_征信特征'!$A$5:$J$204,6,FALSE)</x:f>
        <x:v>0</x:v>
      </x:c>
      <x:c r="J53" s="45" t="n">
        <x:f>VLOOKUP($A53,'02_征信特征'!$A$5:$J$204,7,FALSE)</x:f>
        <x:v>0</x:v>
      </x:c>
      <x:c r="K53" s="45" t="n">
        <x:f>VLOOKUP($A53,'02_征信特征'!$A$5:$J$204,8,FALSE)</x:f>
        <x:v>6</x:v>
      </x:c>
      <x:c r="L53" s="42" t="str">
        <x:f>VLOOKUP($A53,'02_征信特征'!$A$5:$J$204,9,FALSE)</x:f>
        <x:v>N</x:v>
      </x:c>
      <x:c r="M53" s="42" t="str">
        <x:f>VLOOKUP($A53,'03_决策日志'!$A$5:$G$204,4,FALSE)</x:f>
        <x:v>REVIEW</x:v>
      </x:c>
      <x:c r="N53" s="42" t="str">
        <x:f>IFERROR(VLOOKUP($A53,'04_人工审核'!$A$5:$H$57,6,FALSE),"NOT_REQUIRED")</x:f>
        <x:v>DECLINE</x:v>
      </x:c>
      <x:c r="O53" s="42" t="str">
        <x:f>IFERROR(VLOOKUP($A53,'05_贷后表现'!$A$5:$J$137,2,FALSE),"N")</x:f>
        <x:v>N</x:v>
      </x:c>
      <x:c r="P53" s="42" t="str">
        <x:f>IFERROR(VLOOKUP($A53,'05_贷后表现'!$A$5:$J$137,6,FALSE),"")</x:f>
      </x:c>
      <x:c r="Q53" s="42" t="str">
        <x:f>IFERROR(VLOOKUP($A53,'05_贷后表现'!$A$5:$J$137,7,FALSE),"")</x:f>
      </x:c>
      <x:c r="R53" s="45" t="str">
        <x:f>IFERROR(VLOOKUP($A53,'05_贷后表现'!$A$5:$J$137,8,FALSE),"")</x:f>
      </x:c>
      <x:c r="S53" s="35" t="str">
        <x:f>IF(F53&lt;500,"REJECT",IF(OR(I53&gt;=2,J53&gt;60),"REJECT",IF(F53&lt;560,"REVIEW",IF(G53="","REVIEW",IF(AND(L53&lt;&gt;"Y",G53&gt;0.7),"REVIEW","PASS")))))</x:f>
        <x:v>REVIEW</x:v>
      </x:c>
      <x:c r="T53" s="35" t="str">
        <x:f>M53&amp;"→"&amp;S53</x:f>
        <x:v>REVIEW→REVIEW</x:v>
      </x:c>
    </x:row>
    <x:row r="54">
      <x:c r="A54" s="42" t="str">
        <x:v>APP2025000050</x:v>
      </x:c>
      <x:c r="B54" s="43" t="n">
        <x:f>VLOOKUP($A54,'01_申请数据'!$A$5:$L$204,3,FALSE)</x:f>
        <x:v>45700.52847222222</x:v>
      </x:c>
      <x:c r="C54" s="44" t="n">
        <x:f>VLOOKUP($A54,'01_申请数据'!$A$5:$L$204,5,FALSE)</x:f>
        <x:v>108000</x:v>
      </x:c>
      <x:c r="D54" s="45" t="n">
        <x:f>VLOOKUP($A54,'01_申请数据'!$A$5:$L$204,6,FALSE)</x:f>
        <x:v>36</x:v>
      </x:c>
      <x:c r="E54" s="44" t="n">
        <x:f>VLOOKUP($A54,'01_申请数据'!$A$5:$L$204,10,FALSE)</x:f>
        <x:v>17000</x:v>
      </x:c>
      <x:c r="F54" s="45" t="n">
        <x:f>VLOOKUP($A54,'02_征信特征'!$A$5:$J$204,3,FALSE)</x:f>
        <x:v>688</x:v>
      </x:c>
      <x:c r="G54" s="46" t="n">
        <x:f>VLOOKUP($A54,'02_征信特征'!$A$5:$J$204,4,FALSE)</x:f>
        <x:v>0.589</x:v>
      </x:c>
      <x:c r="H54" s="45" t="n">
        <x:f>VLOOKUP($A54,'02_征信特征'!$A$5:$J$204,5,FALSE)</x:f>
        <x:v>1</x:v>
      </x:c>
      <x:c r="I54" s="45" t="n">
        <x:f>VLOOKUP($A54,'02_征信特征'!$A$5:$J$204,6,FALSE)</x:f>
        <x:v>0</x:v>
      </x:c>
      <x:c r="J54" s="45" t="n">
        <x:f>VLOOKUP($A54,'02_征信特征'!$A$5:$J$204,7,FALSE)</x:f>
        <x:v>0</x:v>
      </x:c>
      <x:c r="K54" s="45" t="n">
        <x:f>VLOOKUP($A54,'02_征信特征'!$A$5:$J$204,8,FALSE)</x:f>
        <x:v>8</x:v>
      </x:c>
      <x:c r="L54" s="42" t="str">
        <x:f>VLOOKUP($A54,'02_征信特征'!$A$5:$J$204,9,FALSE)</x:f>
        <x:v>N</x:v>
      </x:c>
      <x:c r="M54" s="42" t="str">
        <x:f>VLOOKUP($A54,'03_决策日志'!$A$5:$G$204,4,FALSE)</x:f>
        <x:v>PASS</x:v>
      </x:c>
      <x:c r="N54" s="42" t="str">
        <x:f>IFERROR(VLOOKUP($A54,'04_人工审核'!$A$5:$H$57,6,FALSE),"NOT_REQUIRED")</x:f>
        <x:v>NOT_REQUIRED</x:v>
      </x:c>
      <x:c r="O54" s="42" t="str">
        <x:f>IFERROR(VLOOKUP($A54,'05_贷后表现'!$A$5:$J$137,2,FALSE),"N")</x:f>
        <x:v>Y</x:v>
      </x:c>
      <x:c r="P54" s="42" t="str">
        <x:f>IFERROR(VLOOKUP($A54,'05_贷后表现'!$A$5:$J$137,6,FALSE),"")</x:f>
        <x:v>N</x:v>
      </x:c>
      <x:c r="Q54" s="42" t="str">
        <x:f>IFERROR(VLOOKUP($A54,'05_贷后表现'!$A$5:$J$137,7,FALSE),"")</x:f>
        <x:v>N</x:v>
      </x:c>
      <x:c r="R54" s="45" t="n">
        <x:f>IFERROR(VLOOKUP($A54,'05_贷后表现'!$A$5:$J$137,8,FALSE),"")</x:f>
        <x:v>9</x:v>
      </x:c>
      <x:c r="S54" s="35" t="str">
        <x:f>IF(F54&lt;500,"REJECT",IF(OR(I54&gt;=2,J54&gt;60),"REJECT",IF(F54&lt;560,"REVIEW",IF(G54="","REVIEW",IF(AND(L54&lt;&gt;"Y",G54&gt;0.7),"REVIEW","PASS")))))</x:f>
        <x:v>PASS</x:v>
      </x:c>
      <x:c r="T54" s="35" t="str">
        <x:f>M54&amp;"→"&amp;S54</x:f>
        <x:v>PASS→PASS</x:v>
      </x:c>
    </x:row>
    <x:row r="55">
      <x:c r="A55" s="42" t="str">
        <x:v>APP2025000051</x:v>
      </x:c>
      <x:c r="B55" s="43" t="n">
        <x:f>VLOOKUP($A55,'01_申请数据'!$A$5:$L$204,3,FALSE)</x:f>
        <x:v>45836.49097222222</x:v>
      </x:c>
      <x:c r="C55" s="44" t="n">
        <x:f>VLOOKUP($A55,'01_申请数据'!$A$5:$L$204,5,FALSE)</x:f>
        <x:v>142000</x:v>
      </x:c>
      <x:c r="D55" s="45" t="n">
        <x:f>VLOOKUP($A55,'01_申请数据'!$A$5:$L$204,6,FALSE)</x:f>
        <x:v>6</x:v>
      </x:c>
      <x:c r="E55" s="44" t="n">
        <x:f>VLOOKUP($A55,'01_申请数据'!$A$5:$L$204,10,FALSE)</x:f>
        <x:v>9800</x:v>
      </x:c>
      <x:c r="F55" s="45" t="n">
        <x:f>VLOOKUP($A55,'02_征信特征'!$A$5:$J$204,3,FALSE)</x:f>
        <x:v>583</x:v>
      </x:c>
      <x:c r="G55" s="46" t="n">
        <x:f>VLOOKUP($A55,'02_征信特征'!$A$5:$J$204,4,FALSE)</x:f>
        <x:v>0.974</x:v>
      </x:c>
      <x:c r="H55" s="45" t="n">
        <x:f>VLOOKUP($A55,'02_征信特征'!$A$5:$J$204,5,FALSE)</x:f>
        <x:v>1</x:v>
      </x:c>
      <x:c r="I55" s="45" t="n">
        <x:f>VLOOKUP($A55,'02_征信特征'!$A$5:$J$204,6,FALSE)</x:f>
        <x:v>1</x:v>
      </x:c>
      <x:c r="J55" s="45" t="n">
        <x:f>VLOOKUP($A55,'02_征信特征'!$A$5:$J$204,7,FALSE)</x:f>
        <x:v>58</x:v>
      </x:c>
      <x:c r="K55" s="45" t="n">
        <x:f>VLOOKUP($A55,'02_征信特征'!$A$5:$J$204,8,FALSE)</x:f>
        <x:v>1</x:v>
      </x:c>
      <x:c r="L55" s="42" t="str">
        <x:f>VLOOKUP($A55,'02_征信特征'!$A$5:$J$204,9,FALSE)</x:f>
        <x:v>N</x:v>
      </x:c>
      <x:c r="M55" s="42" t="str">
        <x:f>VLOOKUP($A55,'03_决策日志'!$A$5:$G$204,4,FALSE)</x:f>
        <x:v>REVIEW</x:v>
      </x:c>
      <x:c r="N55" s="42" t="str">
        <x:f>IFERROR(VLOOKUP($A55,'04_人工审核'!$A$5:$H$57,6,FALSE),"NOT_REQUIRED")</x:f>
        <x:v>APPROVE</x:v>
      </x:c>
      <x:c r="O55" s="42" t="str">
        <x:f>IFERROR(VLOOKUP($A55,'05_贷后表现'!$A$5:$J$137,2,FALSE),"N")</x:f>
        <x:v>Y</x:v>
      </x:c>
      <x:c r="P55" s="42" t="str">
        <x:f>IFERROR(VLOOKUP($A55,'05_贷后表现'!$A$5:$J$137,6,FALSE),"")</x:f>
        <x:v>N</x:v>
      </x:c>
      <x:c r="Q55" s="42" t="str">
        <x:f>IFERROR(VLOOKUP($A55,'05_贷后表现'!$A$5:$J$137,7,FALSE),"")</x:f>
        <x:v>N</x:v>
      </x:c>
      <x:c r="R55" s="45" t="n">
        <x:f>IFERROR(VLOOKUP($A55,'05_贷后表现'!$A$5:$J$137,8,FALSE),"")</x:f>
        <x:v>11</x:v>
      </x:c>
      <x:c r="S55" s="35" t="str">
        <x:f>IF(F55&lt;500,"REJECT",IF(OR(I55&gt;=2,J55&gt;60),"REJECT",IF(F55&lt;560,"REVIEW",IF(G55="","REVIEW",IF(AND(L55&lt;&gt;"Y",G55&gt;0.7),"REVIEW","PASS")))))</x:f>
        <x:v>REVIEW</x:v>
      </x:c>
      <x:c r="T55" s="35" t="str">
        <x:f>M55&amp;"→"&amp;S55</x:f>
        <x:v>REVIEW→REVIEW</x:v>
      </x:c>
    </x:row>
    <x:row r="56">
      <x:c r="A56" s="42" t="str">
        <x:v>APP2025000052</x:v>
      </x:c>
      <x:c r="B56" s="43" t="n">
        <x:f>VLOOKUP($A56,'01_申请数据'!$A$5:$L$204,3,FALSE)</x:f>
        <x:v>45659.43402777778</x:v>
      </x:c>
      <x:c r="C56" s="44" t="n">
        <x:f>VLOOKUP($A56,'01_申请数据'!$A$5:$L$204,5,FALSE)</x:f>
        <x:v>62000</x:v>
      </x:c>
      <x:c r="D56" s="45" t="n">
        <x:f>VLOOKUP($A56,'01_申请数据'!$A$5:$L$204,6,FALSE)</x:f>
        <x:v>18</x:v>
      </x:c>
      <x:c r="E56" s="44" t="n">
        <x:f>VLOOKUP($A56,'01_申请数据'!$A$5:$L$204,10,FALSE)</x:f>
        <x:v>17100</x:v>
      </x:c>
      <x:c r="F56" s="45" t="n">
        <x:f>VLOOKUP($A56,'02_征信特征'!$A$5:$J$204,3,FALSE)</x:f>
        <x:v>620</x:v>
      </x:c>
      <x:c r="G56" s="46" t="n">
        <x:f>VLOOKUP($A56,'02_征信特征'!$A$5:$J$204,4,FALSE)</x:f>
        <x:v>0.422</x:v>
      </x:c>
      <x:c r="H56" s="45" t="n">
        <x:f>VLOOKUP($A56,'02_征信特征'!$A$5:$J$204,5,FALSE)</x:f>
        <x:v>3</x:v>
      </x:c>
      <x:c r="I56" s="45" t="n">
        <x:f>VLOOKUP($A56,'02_征信特征'!$A$5:$J$204,6,FALSE)</x:f>
        <x:v>0</x:v>
      </x:c>
      <x:c r="J56" s="45" t="n">
        <x:f>VLOOKUP($A56,'02_征信特征'!$A$5:$J$204,7,FALSE)</x:f>
        <x:v>0</x:v>
      </x:c>
      <x:c r="K56" s="45" t="n">
        <x:f>VLOOKUP($A56,'02_征信特征'!$A$5:$J$204,8,FALSE)</x:f>
        <x:v>2</x:v>
      </x:c>
      <x:c r="L56" s="42" t="str">
        <x:f>VLOOKUP($A56,'02_征信特征'!$A$5:$J$204,9,FALSE)</x:f>
        <x:v>N</x:v>
      </x:c>
      <x:c r="M56" s="42" t="str">
        <x:f>VLOOKUP($A56,'03_决策日志'!$A$5:$G$204,4,FALSE)</x:f>
        <x:v>PASS</x:v>
      </x:c>
      <x:c r="N56" s="42" t="str">
        <x:f>IFERROR(VLOOKUP($A56,'04_人工审核'!$A$5:$H$57,6,FALSE),"NOT_REQUIRED")</x:f>
        <x:v>NOT_REQUIRED</x:v>
      </x:c>
      <x:c r="O56" s="42" t="str">
        <x:f>IFERROR(VLOOKUP($A56,'05_贷后表现'!$A$5:$J$137,2,FALSE),"N")</x:f>
        <x:v>Y</x:v>
      </x:c>
      <x:c r="P56" s="42" t="str">
        <x:f>IFERROR(VLOOKUP($A56,'05_贷后表现'!$A$5:$J$137,6,FALSE),"")</x:f>
        <x:v>N</x:v>
      </x:c>
      <x:c r="Q56" s="42" t="str">
        <x:f>IFERROR(VLOOKUP($A56,'05_贷后表现'!$A$5:$J$137,7,FALSE),"")</x:f>
        <x:v>N</x:v>
      </x:c>
      <x:c r="R56" s="45" t="n">
        <x:f>IFERROR(VLOOKUP($A56,'05_贷后表现'!$A$5:$J$137,8,FALSE),"")</x:f>
        <x:v>7</x:v>
      </x:c>
      <x:c r="S56" s="35" t="str">
        <x:f>IF(F56&lt;500,"REJECT",IF(OR(I56&gt;=2,J56&gt;60),"REJECT",IF(F56&lt;560,"REVIEW",IF(G56="","REVIEW",IF(AND(L56&lt;&gt;"Y",G56&gt;0.7),"REVIEW","PASS")))))</x:f>
        <x:v>PASS</x:v>
      </x:c>
      <x:c r="T56" s="35" t="str">
        <x:f>M56&amp;"→"&amp;S56</x:f>
        <x:v>PASS→PASS</x:v>
      </x:c>
    </x:row>
    <x:row r="57">
      <x:c r="A57" s="42" t="str">
        <x:v>APP2025000053</x:v>
      </x:c>
      <x:c r="B57" s="43" t="n">
        <x:f>VLOOKUP($A57,'01_申请数据'!$A$5:$L$204,3,FALSE)</x:f>
        <x:v>45748.71041666667</x:v>
      </x:c>
      <x:c r="C57" s="44" t="n">
        <x:f>VLOOKUP($A57,'01_申请数据'!$A$5:$L$204,5,FALSE)</x:f>
        <x:v>64000</x:v>
      </x:c>
      <x:c r="D57" s="45" t="n">
        <x:f>VLOOKUP($A57,'01_申请数据'!$A$5:$L$204,6,FALSE)</x:f>
        <x:v>6</x:v>
      </x:c>
      <x:c r="E57" s="44" t="n">
        <x:f>VLOOKUP($A57,'01_申请数据'!$A$5:$L$204,10,FALSE)</x:f>
        <x:v>18400</x:v>
      </x:c>
      <x:c r="F57" s="45" t="n">
        <x:f>VLOOKUP($A57,'02_征信特征'!$A$5:$J$204,3,FALSE)</x:f>
        <x:v>573</x:v>
      </x:c>
      <x:c r="G57" s="46" t="n">
        <x:f>VLOOKUP($A57,'02_征信特征'!$A$5:$J$204,4,FALSE)</x:f>
        <x:v>0.889</x:v>
      </x:c>
      <x:c r="H57" s="45" t="n">
        <x:f>VLOOKUP($A57,'02_征信特征'!$A$5:$J$204,5,FALSE)</x:f>
        <x:v>5</x:v>
      </x:c>
      <x:c r="I57" s="45" t="n">
        <x:f>VLOOKUP($A57,'02_征信特征'!$A$5:$J$204,6,FALSE)</x:f>
        <x:v>1</x:v>
      </x:c>
      <x:c r="J57" s="45" t="n">
        <x:f>VLOOKUP($A57,'02_征信特征'!$A$5:$J$204,7,FALSE)</x:f>
        <x:v>12</x:v>
      </x:c>
      <x:c r="K57" s="45" t="n">
        <x:f>VLOOKUP($A57,'02_征信特征'!$A$5:$J$204,8,FALSE)</x:f>
        <x:v>2</x:v>
      </x:c>
      <x:c r="L57" s="42" t="str">
        <x:f>VLOOKUP($A57,'02_征信特征'!$A$5:$J$204,9,FALSE)</x:f>
        <x:v>N</x:v>
      </x:c>
      <x:c r="M57" s="42" t="str">
        <x:f>VLOOKUP($A57,'03_决策日志'!$A$5:$G$204,4,FALSE)</x:f>
        <x:v>REVIEW</x:v>
      </x:c>
      <x:c r="N57" s="42" t="str">
        <x:f>IFERROR(VLOOKUP($A57,'04_人工审核'!$A$5:$H$57,6,FALSE),"NOT_REQUIRED")</x:f>
        <x:v>APPROVE</x:v>
      </x:c>
      <x:c r="O57" s="42" t="str">
        <x:f>IFERROR(VLOOKUP($A57,'05_贷后表现'!$A$5:$J$137,2,FALSE),"N")</x:f>
        <x:v>Y</x:v>
      </x:c>
      <x:c r="P57" s="42" t="str">
        <x:f>IFERROR(VLOOKUP($A57,'05_贷后表现'!$A$5:$J$137,6,FALSE),"")</x:f>
        <x:v>N</x:v>
      </x:c>
      <x:c r="Q57" s="42" t="str">
        <x:f>IFERROR(VLOOKUP($A57,'05_贷后表现'!$A$5:$J$137,7,FALSE),"")</x:f>
        <x:v>N</x:v>
      </x:c>
      <x:c r="R57" s="45" t="n">
        <x:f>IFERROR(VLOOKUP($A57,'05_贷后表现'!$A$5:$J$137,8,FALSE),"")</x:f>
        <x:v>10</x:v>
      </x:c>
      <x:c r="S57" s="35" t="str">
        <x:f>IF(F57&lt;500,"REJECT",IF(OR(I57&gt;=2,J57&gt;60),"REJECT",IF(F57&lt;560,"REVIEW",IF(G57="","REVIEW",IF(AND(L57&lt;&gt;"Y",G57&gt;0.7),"REVIEW","PASS")))))</x:f>
        <x:v>REVIEW</x:v>
      </x:c>
      <x:c r="T57" s="35" t="str">
        <x:f>M57&amp;"→"&amp;S57</x:f>
        <x:v>REVIEW→REVIEW</x:v>
      </x:c>
    </x:row>
    <x:row r="58">
      <x:c r="A58" s="42" t="str">
        <x:v>APP2025000054</x:v>
      </x:c>
      <x:c r="B58" s="43" t="n">
        <x:f>VLOOKUP($A58,'01_申请数据'!$A$5:$L$204,3,FALSE)</x:f>
        <x:v>45817.43125</x:v>
      </x:c>
      <x:c r="C58" s="44" t="n">
        <x:f>VLOOKUP($A58,'01_申请数据'!$A$5:$L$204,5,FALSE)</x:f>
        <x:v>104000</x:v>
      </x:c>
      <x:c r="D58" s="45" t="n">
        <x:f>VLOOKUP($A58,'01_申请数据'!$A$5:$L$204,6,FALSE)</x:f>
        <x:v>24</x:v>
      </x:c>
      <x:c r="E58" s="44" t="n">
        <x:f>VLOOKUP($A58,'01_申请数据'!$A$5:$L$204,10,FALSE)</x:f>
        <x:v>21500</x:v>
      </x:c>
      <x:c r="F58" s="45" t="n">
        <x:f>VLOOKUP($A58,'02_征信特征'!$A$5:$J$204,3,FALSE)</x:f>
        <x:v>618</x:v>
      </x:c>
      <x:c r="G58" s="46" t="n">
        <x:f>VLOOKUP($A58,'02_征信特征'!$A$5:$J$204,4,FALSE)</x:f>
        <x:v>0.447</x:v>
      </x:c>
      <x:c r="H58" s="45" t="n">
        <x:f>VLOOKUP($A58,'02_征信特征'!$A$5:$J$204,5,FALSE)</x:f>
        <x:v>5</x:v>
      </x:c>
      <x:c r="I58" s="45" t="n">
        <x:f>VLOOKUP($A58,'02_征信特征'!$A$5:$J$204,6,FALSE)</x:f>
        <x:v>0</x:v>
      </x:c>
      <x:c r="J58" s="45" t="n">
        <x:f>VLOOKUP($A58,'02_征信特征'!$A$5:$J$204,7,FALSE)</x:f>
        <x:v>0</x:v>
      </x:c>
      <x:c r="K58" s="45" t="n">
        <x:f>VLOOKUP($A58,'02_征信特征'!$A$5:$J$204,8,FALSE)</x:f>
        <x:v>10</x:v>
      </x:c>
      <x:c r="L58" s="42" t="str">
        <x:f>VLOOKUP($A58,'02_征信特征'!$A$5:$J$204,9,FALSE)</x:f>
        <x:v>N</x:v>
      </x:c>
      <x:c r="M58" s="42" t="str">
        <x:f>VLOOKUP($A58,'03_决策日志'!$A$5:$G$204,4,FALSE)</x:f>
        <x:v>PASS</x:v>
      </x:c>
      <x:c r="N58" s="42" t="str">
        <x:f>IFERROR(VLOOKUP($A58,'04_人工审核'!$A$5:$H$57,6,FALSE),"NOT_REQUIRED")</x:f>
        <x:v>NOT_REQUIRED</x:v>
      </x:c>
      <x:c r="O58" s="42" t="str">
        <x:f>IFERROR(VLOOKUP($A58,'05_贷后表现'!$A$5:$J$137,2,FALSE),"N")</x:f>
        <x:v>Y</x:v>
      </x:c>
      <x:c r="P58" s="42" t="str">
        <x:f>IFERROR(VLOOKUP($A58,'05_贷后表现'!$A$5:$J$137,6,FALSE),"")</x:f>
        <x:v>N</x:v>
      </x:c>
      <x:c r="Q58" s="42" t="str">
        <x:f>IFERROR(VLOOKUP($A58,'05_贷后表现'!$A$5:$J$137,7,FALSE),"")</x:f>
        <x:v>N</x:v>
      </x:c>
      <x:c r="R58" s="45" t="n">
        <x:f>IFERROR(VLOOKUP($A58,'05_贷后表现'!$A$5:$J$137,8,FALSE),"")</x:f>
        <x:v>6</x:v>
      </x:c>
      <x:c r="S58" s="35" t="str">
        <x:f>IF(F58&lt;500,"REJECT",IF(OR(I58&gt;=2,J58&gt;60),"REJECT",IF(F58&lt;560,"REVIEW",IF(G58="","REVIEW",IF(AND(L58&lt;&gt;"Y",G58&gt;0.7),"REVIEW","PASS")))))</x:f>
        <x:v>PASS</x:v>
      </x:c>
      <x:c r="T58" s="35" t="str">
        <x:f>M58&amp;"→"&amp;S58</x:f>
        <x:v>PASS→PASS</x:v>
      </x:c>
    </x:row>
    <x:row r="59">
      <x:c r="A59" s="42" t="str">
        <x:v>APP2025000055</x:v>
      </x:c>
      <x:c r="B59" s="43" t="n">
        <x:f>VLOOKUP($A59,'01_申请数据'!$A$5:$L$204,3,FALSE)</x:f>
        <x:v>45722.5375</x:v>
      </x:c>
      <x:c r="C59" s="44" t="n">
        <x:f>VLOOKUP($A59,'01_申请数据'!$A$5:$L$204,5,FALSE)</x:f>
        <x:v>79000</x:v>
      </x:c>
      <x:c r="D59" s="45" t="n">
        <x:f>VLOOKUP($A59,'01_申请数据'!$A$5:$L$204,6,FALSE)</x:f>
        <x:v>18</x:v>
      </x:c>
      <x:c r="E59" s="44" t="n">
        <x:f>VLOOKUP($A59,'01_申请数据'!$A$5:$L$204,10,FALSE)</x:f>
        <x:v>21500</x:v>
      </x:c>
      <x:c r="F59" s="45" t="n">
        <x:f>VLOOKUP($A59,'02_征信特征'!$A$5:$J$204,3,FALSE)</x:f>
        <x:v>543</x:v>
      </x:c>
      <x:c r="G59" s="46" t="n">
        <x:f>VLOOKUP($A59,'02_征信特征'!$A$5:$J$204,4,FALSE)</x:f>
        <x:v>0.917</x:v>
      </x:c>
      <x:c r="H59" s="45" t="n">
        <x:f>VLOOKUP($A59,'02_征信特征'!$A$5:$J$204,5,FALSE)</x:f>
        <x:v>1</x:v>
      </x:c>
      <x:c r="I59" s="45" t="n">
        <x:f>VLOOKUP($A59,'02_征信特征'!$A$5:$J$204,6,FALSE)</x:f>
        <x:v>2</x:v>
      </x:c>
      <x:c r="J59" s="45" t="n">
        <x:f>VLOOKUP($A59,'02_征信特征'!$A$5:$J$204,7,FALSE)</x:f>
        <x:v>82</x:v>
      </x:c>
      <x:c r="K59" s="45" t="n">
        <x:f>VLOOKUP($A59,'02_征信特征'!$A$5:$J$204,8,FALSE)</x:f>
        <x:v>1</x:v>
      </x:c>
      <x:c r="L59" s="42" t="str">
        <x:f>VLOOKUP($A59,'02_征信特征'!$A$5:$J$204,9,FALSE)</x:f>
        <x:v>N</x:v>
      </x:c>
      <x:c r="M59" s="42" t="str">
        <x:f>VLOOKUP($A59,'03_决策日志'!$A$5:$G$204,4,FALSE)</x:f>
        <x:v>REVIEW</x:v>
      </x:c>
      <x:c r="N59" s="42" t="str">
        <x:f>IFERROR(VLOOKUP($A59,'04_人工审核'!$A$5:$H$57,6,FALSE),"NOT_REQUIRED")</x:f>
        <x:v>DECLINE</x:v>
      </x:c>
      <x:c r="O59" s="42" t="str">
        <x:f>IFERROR(VLOOKUP($A59,'05_贷后表现'!$A$5:$J$137,2,FALSE),"N")</x:f>
        <x:v>N</x:v>
      </x:c>
      <x:c r="P59" s="42" t="str">
        <x:f>IFERROR(VLOOKUP($A59,'05_贷后表现'!$A$5:$J$137,6,FALSE),"")</x:f>
      </x:c>
      <x:c r="Q59" s="42" t="str">
        <x:f>IFERROR(VLOOKUP($A59,'05_贷后表现'!$A$5:$J$137,7,FALSE),"")</x:f>
      </x:c>
      <x:c r="R59" s="45" t="str">
        <x:f>IFERROR(VLOOKUP($A59,'05_贷后表现'!$A$5:$J$137,8,FALSE),"")</x:f>
      </x:c>
      <x:c r="S59" s="35" t="str">
        <x:f>IF(F59&lt;500,"REJECT",IF(OR(I59&gt;=2,J59&gt;60),"REJECT",IF(F59&lt;560,"REVIEW",IF(G59="","REVIEW",IF(AND(L59&lt;&gt;"Y",G59&gt;0.7),"REVIEW","PASS")))))</x:f>
        <x:v>REJECT</x:v>
      </x:c>
      <x:c r="T59" s="35" t="str">
        <x:f>M59&amp;"→"&amp;S59</x:f>
        <x:v>REVIEW→REJECT</x:v>
      </x:c>
    </x:row>
    <x:row r="60">
      <x:c r="A60" s="42" t="str">
        <x:v>APP2025000056</x:v>
      </x:c>
      <x:c r="B60" s="43" t="n">
        <x:f>VLOOKUP($A60,'01_申请数据'!$A$5:$L$204,3,FALSE)</x:f>
        <x:v>45768.549305555556</x:v>
      </x:c>
      <x:c r="C60" s="44" t="n">
        <x:f>VLOOKUP($A60,'01_申请数据'!$A$5:$L$204,5,FALSE)</x:f>
        <x:v>127000</x:v>
      </x:c>
      <x:c r="D60" s="45" t="n">
        <x:f>VLOOKUP($A60,'01_申请数据'!$A$5:$L$204,6,FALSE)</x:f>
        <x:v>12</x:v>
      </x:c>
      <x:c r="E60" s="44" t="n">
        <x:f>VLOOKUP($A60,'01_申请数据'!$A$5:$L$204,10,FALSE)</x:f>
        <x:v>6100</x:v>
      </x:c>
      <x:c r="F60" s="45" t="n">
        <x:f>VLOOKUP($A60,'02_征信特征'!$A$5:$J$204,3,FALSE)</x:f>
        <x:v>546</x:v>
      </x:c>
      <x:c r="G60" s="46" t="n">
        <x:f>VLOOKUP($A60,'02_征信特征'!$A$5:$J$204,4,FALSE)</x:f>
        <x:v>0.238</x:v>
      </x:c>
      <x:c r="H60" s="45" t="n">
        <x:f>VLOOKUP($A60,'02_征信特征'!$A$5:$J$204,5,FALSE)</x:f>
        <x:v>1</x:v>
      </x:c>
      <x:c r="I60" s="45" t="n">
        <x:f>VLOOKUP($A60,'02_征信特征'!$A$5:$J$204,6,FALSE)</x:f>
        <x:v>4</x:v>
      </x:c>
      <x:c r="J60" s="45" t="n">
        <x:f>VLOOKUP($A60,'02_征信特征'!$A$5:$J$204,7,FALSE)</x:f>
        <x:v>121</x:v>
      </x:c>
      <x:c r="K60" s="45" t="n">
        <x:f>VLOOKUP($A60,'02_征信特征'!$A$5:$J$204,8,FALSE)</x:f>
        <x:v>9</x:v>
      </x:c>
      <x:c r="L60" s="42" t="str">
        <x:f>VLOOKUP($A60,'02_征信特征'!$A$5:$J$204,9,FALSE)</x:f>
        <x:v>Y</x:v>
      </x:c>
      <x:c r="M60" s="42" t="str">
        <x:f>VLOOKUP($A60,'03_决策日志'!$A$5:$G$204,4,FALSE)</x:f>
        <x:v>REJECT</x:v>
      </x:c>
      <x:c r="N60" s="42" t="str">
        <x:f>IFERROR(VLOOKUP($A60,'04_人工审核'!$A$5:$H$57,6,FALSE),"NOT_REQUIRED")</x:f>
        <x:v>NOT_REQUIRED</x:v>
      </x:c>
      <x:c r="O60" s="42" t="str">
        <x:f>IFERROR(VLOOKUP($A60,'05_贷后表现'!$A$5:$J$137,2,FALSE),"N")</x:f>
        <x:v>N</x:v>
      </x:c>
      <x:c r="P60" s="42" t="str">
        <x:f>IFERROR(VLOOKUP($A60,'05_贷后表现'!$A$5:$J$137,6,FALSE),"")</x:f>
      </x:c>
      <x:c r="Q60" s="42" t="str">
        <x:f>IFERROR(VLOOKUP($A60,'05_贷后表现'!$A$5:$J$137,7,FALSE),"")</x:f>
      </x:c>
      <x:c r="R60" s="45" t="str">
        <x:f>IFERROR(VLOOKUP($A60,'05_贷后表现'!$A$5:$J$137,8,FALSE),"")</x:f>
      </x:c>
      <x:c r="S60" s="35" t="str">
        <x:f>IF(F60&lt;500,"REJECT",IF(OR(I60&gt;=2,J60&gt;60),"REJECT",IF(F60&lt;560,"REVIEW",IF(G60="","REVIEW",IF(AND(L60&lt;&gt;"Y",G60&gt;0.7),"REVIEW","PASS")))))</x:f>
        <x:v>REJECT</x:v>
      </x:c>
      <x:c r="T60" s="35" t="str">
        <x:f>M60&amp;"→"&amp;S60</x:f>
        <x:v>REJECT→REJECT</x:v>
      </x:c>
    </x:row>
    <x:row r="61">
      <x:c r="A61" s="42" t="str">
        <x:v>APP2025000057</x:v>
      </x:c>
      <x:c r="B61" s="43" t="n">
        <x:f>VLOOKUP($A61,'01_申请数据'!$A$5:$L$204,3,FALSE)</x:f>
        <x:v>45769.63333333333</x:v>
      </x:c>
      <x:c r="C61" s="44" t="n">
        <x:f>VLOOKUP($A61,'01_申请数据'!$A$5:$L$204,5,FALSE)</x:f>
        <x:v>84000</x:v>
      </x:c>
      <x:c r="D61" s="45" t="n">
        <x:f>VLOOKUP($A61,'01_申请数据'!$A$5:$L$204,6,FALSE)</x:f>
        <x:v>24</x:v>
      </x:c>
      <x:c r="E61" s="44" t="n">
        <x:f>VLOOKUP($A61,'01_申请数据'!$A$5:$L$204,10,FALSE)</x:f>
        <x:v>22400</x:v>
      </x:c>
      <x:c r="F61" s="45" t="n">
        <x:f>VLOOKUP($A61,'02_征信特征'!$A$5:$J$204,3,FALSE)</x:f>
        <x:v>708</x:v>
      </x:c>
      <x:c r="G61" s="46" t="n">
        <x:f>VLOOKUP($A61,'02_征信特征'!$A$5:$J$204,4,FALSE)</x:f>
        <x:v>0.431</x:v>
      </x:c>
      <x:c r="H61" s="45" t="n">
        <x:f>VLOOKUP($A61,'02_征信特征'!$A$5:$J$204,5,FALSE)</x:f>
        <x:v>5</x:v>
      </x:c>
      <x:c r="I61" s="45" t="n">
        <x:f>VLOOKUP($A61,'02_征信特征'!$A$5:$J$204,6,FALSE)</x:f>
        <x:v>0</x:v>
      </x:c>
      <x:c r="J61" s="45" t="n">
        <x:f>VLOOKUP($A61,'02_征信特征'!$A$5:$J$204,7,FALSE)</x:f>
        <x:v>0</x:v>
      </x:c>
      <x:c r="K61" s="45" t="n">
        <x:f>VLOOKUP($A61,'02_征信特征'!$A$5:$J$204,8,FALSE)</x:f>
        <x:v>10</x:v>
      </x:c>
      <x:c r="L61" s="42" t="str">
        <x:f>VLOOKUP($A61,'02_征信特征'!$A$5:$J$204,9,FALSE)</x:f>
        <x:v>N</x:v>
      </x:c>
      <x:c r="M61" s="42" t="str">
        <x:f>VLOOKUP($A61,'03_决策日志'!$A$5:$G$204,4,FALSE)</x:f>
        <x:v>PASS</x:v>
      </x:c>
      <x:c r="N61" s="42" t="str">
        <x:f>IFERROR(VLOOKUP($A61,'04_人工审核'!$A$5:$H$57,6,FALSE),"NOT_REQUIRED")</x:f>
        <x:v>NOT_REQUIRED</x:v>
      </x:c>
      <x:c r="O61" s="42" t="str">
        <x:f>IFERROR(VLOOKUP($A61,'05_贷后表现'!$A$5:$J$137,2,FALSE),"N")</x:f>
        <x:v>N</x:v>
      </x:c>
      <x:c r="P61" s="42" t="str">
        <x:f>IFERROR(VLOOKUP($A61,'05_贷后表现'!$A$5:$J$137,6,FALSE),"")</x:f>
      </x:c>
      <x:c r="Q61" s="42" t="str">
        <x:f>IFERROR(VLOOKUP($A61,'05_贷后表现'!$A$5:$J$137,7,FALSE),"")</x:f>
      </x:c>
      <x:c r="R61" s="45" t="str">
        <x:f>IFERROR(VLOOKUP($A61,'05_贷后表现'!$A$5:$J$137,8,FALSE),"")</x:f>
      </x:c>
      <x:c r="S61" s="35" t="str">
        <x:f>IF(F61&lt;500,"REJECT",IF(OR(I61&gt;=2,J61&gt;60),"REJECT",IF(F61&lt;560,"REVIEW",IF(G61="","REVIEW",IF(AND(L61&lt;&gt;"Y",G61&gt;0.7),"REVIEW","PASS")))))</x:f>
        <x:v>PASS</x:v>
      </x:c>
      <x:c r="T61" s="35" t="str">
        <x:f>M61&amp;"→"&amp;S61</x:f>
        <x:v>PASS→PASS</x:v>
      </x:c>
    </x:row>
    <x:row r="62">
      <x:c r="A62" s="42" t="str">
        <x:v>APP2025000058</x:v>
      </x:c>
      <x:c r="B62" s="43" t="n">
        <x:f>VLOOKUP($A62,'01_申请数据'!$A$5:$L$204,3,FALSE)</x:f>
        <x:v>45808.49652777778</x:v>
      </x:c>
      <x:c r="C62" s="44" t="n">
        <x:f>VLOOKUP($A62,'01_申请数据'!$A$5:$L$204,5,FALSE)</x:f>
        <x:v>149000</x:v>
      </x:c>
      <x:c r="D62" s="45" t="n">
        <x:f>VLOOKUP($A62,'01_申请数据'!$A$5:$L$204,6,FALSE)</x:f>
        <x:v>6</x:v>
      </x:c>
      <x:c r="E62" s="44" t="n">
        <x:f>VLOOKUP($A62,'01_申请数据'!$A$5:$L$204,10,FALSE)</x:f>
        <x:v>6800</x:v>
      </x:c>
      <x:c r="F62" s="45" t="n">
        <x:f>VLOOKUP($A62,'02_征信特征'!$A$5:$J$204,3,FALSE)</x:f>
        <x:v>706</x:v>
      </x:c>
      <x:c r="G62" s="46" t="n">
        <x:f>VLOOKUP($A62,'02_征信特征'!$A$5:$J$204,4,FALSE)</x:f>
        <x:v>0.54</x:v>
      </x:c>
      <x:c r="H62" s="45" t="n">
        <x:f>VLOOKUP($A62,'02_征信特征'!$A$5:$J$204,5,FALSE)</x:f>
        <x:v>0</x:v>
      </x:c>
      <x:c r="I62" s="45" t="n">
        <x:f>VLOOKUP($A62,'02_征信特征'!$A$5:$J$204,6,FALSE)</x:f>
        <x:v>0</x:v>
      </x:c>
      <x:c r="J62" s="45" t="n">
        <x:f>VLOOKUP($A62,'02_征信特征'!$A$5:$J$204,7,FALSE)</x:f>
        <x:v>0</x:v>
      </x:c>
      <x:c r="K62" s="45" t="n">
        <x:f>VLOOKUP($A62,'02_征信特征'!$A$5:$J$204,8,FALSE)</x:f>
        <x:v>8</x:v>
      </x:c>
      <x:c r="L62" s="42" t="str">
        <x:f>VLOOKUP($A62,'02_征信特征'!$A$5:$J$204,9,FALSE)</x:f>
        <x:v>N</x:v>
      </x:c>
      <x:c r="M62" s="42" t="str">
        <x:f>VLOOKUP($A62,'03_决策日志'!$A$5:$G$204,4,FALSE)</x:f>
        <x:v>PASS</x:v>
      </x:c>
      <x:c r="N62" s="42" t="str">
        <x:f>IFERROR(VLOOKUP($A62,'04_人工审核'!$A$5:$H$57,6,FALSE),"NOT_REQUIRED")</x:f>
        <x:v>NOT_REQUIRED</x:v>
      </x:c>
      <x:c r="O62" s="42" t="str">
        <x:f>IFERROR(VLOOKUP($A62,'05_贷后表现'!$A$5:$J$137,2,FALSE),"N")</x:f>
        <x:v>N</x:v>
      </x:c>
      <x:c r="P62" s="42" t="str">
        <x:f>IFERROR(VLOOKUP($A62,'05_贷后表现'!$A$5:$J$137,6,FALSE),"")</x:f>
      </x:c>
      <x:c r="Q62" s="42" t="str">
        <x:f>IFERROR(VLOOKUP($A62,'05_贷后表现'!$A$5:$J$137,7,FALSE),"")</x:f>
      </x:c>
      <x:c r="R62" s="45" t="str">
        <x:f>IFERROR(VLOOKUP($A62,'05_贷后表现'!$A$5:$J$137,8,FALSE),"")</x:f>
      </x:c>
      <x:c r="S62" s="35" t="str">
        <x:f>IF(F62&lt;500,"REJECT",IF(OR(I62&gt;=2,J62&gt;60),"REJECT",IF(F62&lt;560,"REVIEW",IF(G62="","REVIEW",IF(AND(L62&lt;&gt;"Y",G62&gt;0.7),"REVIEW","PASS")))))</x:f>
        <x:v>PASS</x:v>
      </x:c>
      <x:c r="T62" s="35" t="str">
        <x:f>M62&amp;"→"&amp;S62</x:f>
        <x:v>PASS→PASS</x:v>
      </x:c>
    </x:row>
    <x:row r="63">
      <x:c r="A63" s="42" t="str">
        <x:v>APP2025000059</x:v>
      </x:c>
      <x:c r="B63" s="43" t="n">
        <x:f>VLOOKUP($A63,'01_申请数据'!$A$5:$L$204,3,FALSE)</x:f>
        <x:v>45833.44097222222</x:v>
      </x:c>
      <x:c r="C63" s="44" t="n">
        <x:f>VLOOKUP($A63,'01_申请数据'!$A$5:$L$204,5,FALSE)</x:f>
        <x:v>76000</x:v>
      </x:c>
      <x:c r="D63" s="45" t="n">
        <x:f>VLOOKUP($A63,'01_申请数据'!$A$5:$L$204,6,FALSE)</x:f>
        <x:v>6</x:v>
      </x:c>
      <x:c r="E63" s="44" t="n">
        <x:f>VLOOKUP($A63,'01_申请数据'!$A$5:$L$204,10,FALSE)</x:f>
        <x:v>10900</x:v>
      </x:c>
      <x:c r="F63" s="45" t="n">
        <x:f>VLOOKUP($A63,'02_征信特征'!$A$5:$J$204,3,FALSE)</x:f>
        <x:v>622</x:v>
      </x:c>
      <x:c r="G63" s="46" t="n">
        <x:f>VLOOKUP($A63,'02_征信特征'!$A$5:$J$204,4,FALSE)</x:f>
        <x:v>0.751</x:v>
      </x:c>
      <x:c r="H63" s="45" t="n">
        <x:f>VLOOKUP($A63,'02_征信特征'!$A$5:$J$204,5,FALSE)</x:f>
        <x:v>0</x:v>
      </x:c>
      <x:c r="I63" s="45" t="n">
        <x:f>VLOOKUP($A63,'02_征信特征'!$A$5:$J$204,6,FALSE)</x:f>
        <x:v>0</x:v>
      </x:c>
      <x:c r="J63" s="45" t="n">
        <x:f>VLOOKUP($A63,'02_征信特征'!$A$5:$J$204,7,FALSE)</x:f>
        <x:v>0</x:v>
      </x:c>
      <x:c r="K63" s="45" t="n">
        <x:f>VLOOKUP($A63,'02_征信特征'!$A$5:$J$204,8,FALSE)</x:f>
        <x:v>0</x:v>
      </x:c>
      <x:c r="L63" s="42" t="str">
        <x:f>VLOOKUP($A63,'02_征信特征'!$A$5:$J$204,9,FALSE)</x:f>
        <x:v>N</x:v>
      </x:c>
      <x:c r="M63" s="42" t="str">
        <x:f>VLOOKUP($A63,'03_决策日志'!$A$5:$G$204,4,FALSE)</x:f>
        <x:v>PASS</x:v>
      </x:c>
      <x:c r="N63" s="42" t="str">
        <x:f>IFERROR(VLOOKUP($A63,'04_人工审核'!$A$5:$H$57,6,FALSE),"NOT_REQUIRED")</x:f>
        <x:v>NOT_REQUIRED</x:v>
      </x:c>
      <x:c r="O63" s="42" t="str">
        <x:f>IFERROR(VLOOKUP($A63,'05_贷后表现'!$A$5:$J$137,2,FALSE),"N")</x:f>
        <x:v>Y</x:v>
      </x:c>
      <x:c r="P63" s="42" t="str">
        <x:f>IFERROR(VLOOKUP($A63,'05_贷后表现'!$A$5:$J$137,6,FALSE),"")</x:f>
        <x:v>N</x:v>
      </x:c>
      <x:c r="Q63" s="42" t="str">
        <x:f>IFERROR(VLOOKUP($A63,'05_贷后表现'!$A$5:$J$137,7,FALSE),"")</x:f>
        <x:v>N</x:v>
      </x:c>
      <x:c r="R63" s="45" t="n">
        <x:f>IFERROR(VLOOKUP($A63,'05_贷后表现'!$A$5:$J$137,8,FALSE),"")</x:f>
        <x:v>13</x:v>
      </x:c>
      <x:c r="S63" s="35" t="str">
        <x:f>IF(F63&lt;500,"REJECT",IF(OR(I63&gt;=2,J63&gt;60),"REJECT",IF(F63&lt;560,"REVIEW",IF(G63="","REVIEW",IF(AND(L63&lt;&gt;"Y",G63&gt;0.7),"REVIEW","PASS")))))</x:f>
        <x:v>REVIEW</x:v>
      </x:c>
      <x:c r="T63" s="35" t="str">
        <x:f>M63&amp;"→"&amp;S63</x:f>
        <x:v>PASS→REVIEW</x:v>
      </x:c>
    </x:row>
    <x:row r="64">
      <x:c r="A64" s="42" t="str">
        <x:v>APP2025000060</x:v>
      </x:c>
      <x:c r="B64" s="43" t="n">
        <x:f>VLOOKUP($A64,'01_申请数据'!$A$5:$L$204,3,FALSE)</x:f>
        <x:v>45759.50347222222</x:v>
      </x:c>
      <x:c r="C64" s="44" t="n">
        <x:f>VLOOKUP($A64,'01_申请数据'!$A$5:$L$204,5,FALSE)</x:f>
        <x:v>147000</x:v>
      </x:c>
      <x:c r="D64" s="45" t="n">
        <x:f>VLOOKUP($A64,'01_申请数据'!$A$5:$L$204,6,FALSE)</x:f>
        <x:v>36</x:v>
      </x:c>
      <x:c r="E64" s="44" t="n">
        <x:f>VLOOKUP($A64,'01_申请数据'!$A$5:$L$204,10,FALSE)</x:f>
        <x:v>5400</x:v>
      </x:c>
      <x:c r="F64" s="45" t="n">
        <x:f>VLOOKUP($A64,'02_征信特征'!$A$5:$J$204,3,FALSE)</x:f>
        <x:v>599</x:v>
      </x:c>
      <x:c r="G64" s="46" t="n">
        <x:f>VLOOKUP($A64,'02_征信特征'!$A$5:$J$204,4,FALSE)</x:f>
        <x:v>0.913</x:v>
      </x:c>
      <x:c r="H64" s="45" t="n">
        <x:f>VLOOKUP($A64,'02_征信特征'!$A$5:$J$204,5,FALSE)</x:f>
        <x:v>5</x:v>
      </x:c>
      <x:c r="I64" s="45" t="n">
        <x:f>VLOOKUP($A64,'02_征信特征'!$A$5:$J$204,6,FALSE)</x:f>
        <x:v>0</x:v>
      </x:c>
      <x:c r="J64" s="45" t="n">
        <x:f>VLOOKUP($A64,'02_征信特征'!$A$5:$J$204,7,FALSE)</x:f>
        <x:v>0</x:v>
      </x:c>
      <x:c r="K64" s="45" t="n">
        <x:f>VLOOKUP($A64,'02_征信特征'!$A$5:$J$204,8,FALSE)</x:f>
        <x:v>0</x:v>
      </x:c>
      <x:c r="L64" s="42" t="str">
        <x:f>VLOOKUP($A64,'02_征信特征'!$A$5:$J$204,9,FALSE)</x:f>
        <x:v>Y</x:v>
      </x:c>
      <x:c r="M64" s="42" t="str">
        <x:f>VLOOKUP($A64,'03_决策日志'!$A$5:$G$204,4,FALSE)</x:f>
        <x:v>PASS</x:v>
      </x:c>
      <x:c r="N64" s="42" t="str">
        <x:f>IFERROR(VLOOKUP($A64,'04_人工审核'!$A$5:$H$57,6,FALSE),"NOT_REQUIRED")</x:f>
        <x:v>NOT_REQUIRED</x:v>
      </x:c>
      <x:c r="O64" s="42" t="str">
        <x:f>IFERROR(VLOOKUP($A64,'05_贷后表现'!$A$5:$J$137,2,FALSE),"N")</x:f>
        <x:v>Y</x:v>
      </x:c>
      <x:c r="P64" s="42" t="str">
        <x:f>IFERROR(VLOOKUP($A64,'05_贷后表现'!$A$5:$J$137,6,FALSE),"")</x:f>
        <x:v>N</x:v>
      </x:c>
      <x:c r="Q64" s="42" t="str">
        <x:f>IFERROR(VLOOKUP($A64,'05_贷后表现'!$A$5:$J$137,7,FALSE),"")</x:f>
        <x:v>N</x:v>
      </x:c>
      <x:c r="R64" s="45" t="n">
        <x:f>IFERROR(VLOOKUP($A64,'05_贷后表现'!$A$5:$J$137,8,FALSE),"")</x:f>
        <x:v>13</x:v>
      </x:c>
      <x:c r="S64" s="35" t="str">
        <x:f>IF(F64&lt;500,"REJECT",IF(OR(I64&gt;=2,J64&gt;60),"REJECT",IF(F64&lt;560,"REVIEW",IF(G64="","REVIEW",IF(AND(L64&lt;&gt;"Y",G64&gt;0.7),"REVIEW","PASS")))))</x:f>
        <x:v>PASS</x:v>
      </x:c>
      <x:c r="T64" s="35" t="str">
        <x:f>M64&amp;"→"&amp;S64</x:f>
        <x:v>PASS→PASS</x:v>
      </x:c>
    </x:row>
    <x:row r="65">
      <x:c r="A65" s="42" t="str">
        <x:v>APP2025000061</x:v>
      </x:c>
      <x:c r="B65" s="43" t="n">
        <x:f>VLOOKUP($A65,'01_申请数据'!$A$5:$L$204,3,FALSE)</x:f>
        <x:v>45747.66875</x:v>
      </x:c>
      <x:c r="C65" s="44" t="n">
        <x:f>VLOOKUP($A65,'01_申请数据'!$A$5:$L$204,5,FALSE)</x:f>
        <x:v>90000</x:v>
      </x:c>
      <x:c r="D65" s="45" t="n">
        <x:f>VLOOKUP($A65,'01_申请数据'!$A$5:$L$204,6,FALSE)</x:f>
        <x:v>12</x:v>
      </x:c>
      <x:c r="E65" s="44" t="n">
        <x:f>VLOOKUP($A65,'01_申请数据'!$A$5:$L$204,10,FALSE)</x:f>
        <x:v>19300</x:v>
      </x:c>
      <x:c r="F65" s="45" t="n">
        <x:f>VLOOKUP($A65,'02_征信特征'!$A$5:$J$204,3,FALSE)</x:f>
        <x:v>632</x:v>
      </x:c>
      <x:c r="G65" s="46" t="n">
        <x:f>VLOOKUP($A65,'02_征信特征'!$A$5:$J$204,4,FALSE)</x:f>
        <x:v>0.995</x:v>
      </x:c>
      <x:c r="H65" s="45" t="n">
        <x:f>VLOOKUP($A65,'02_征信特征'!$A$5:$J$204,5,FALSE)</x:f>
        <x:v>1</x:v>
      </x:c>
      <x:c r="I65" s="45" t="n">
        <x:f>VLOOKUP($A65,'02_征信特征'!$A$5:$J$204,6,FALSE)</x:f>
        <x:v>1</x:v>
      </x:c>
      <x:c r="J65" s="45" t="n">
        <x:f>VLOOKUP($A65,'02_征信特征'!$A$5:$J$204,7,FALSE)</x:f>
        <x:v>12</x:v>
      </x:c>
      <x:c r="K65" s="45" t="n">
        <x:f>VLOOKUP($A65,'02_征信特征'!$A$5:$J$204,8,FALSE)</x:f>
        <x:v>10</x:v>
      </x:c>
      <x:c r="L65" s="42" t="str">
        <x:f>VLOOKUP($A65,'02_征信特征'!$A$5:$J$204,9,FALSE)</x:f>
        <x:v>N</x:v>
      </x:c>
      <x:c r="M65" s="42" t="str">
        <x:f>VLOOKUP($A65,'03_决策日志'!$A$5:$G$204,4,FALSE)</x:f>
        <x:v>REVIEW</x:v>
      </x:c>
      <x:c r="N65" s="42" t="str">
        <x:f>IFERROR(VLOOKUP($A65,'04_人工审核'!$A$5:$H$57,6,FALSE),"NOT_REQUIRED")</x:f>
        <x:v>DECLINE</x:v>
      </x:c>
      <x:c r="O65" s="42" t="str">
        <x:f>IFERROR(VLOOKUP($A65,'05_贷后表现'!$A$5:$J$137,2,FALSE),"N")</x:f>
        <x:v>N</x:v>
      </x:c>
      <x:c r="P65" s="42" t="str">
        <x:f>IFERROR(VLOOKUP($A65,'05_贷后表现'!$A$5:$J$137,6,FALSE),"")</x:f>
      </x:c>
      <x:c r="Q65" s="42" t="str">
        <x:f>IFERROR(VLOOKUP($A65,'05_贷后表现'!$A$5:$J$137,7,FALSE),"")</x:f>
      </x:c>
      <x:c r="R65" s="45" t="str">
        <x:f>IFERROR(VLOOKUP($A65,'05_贷后表现'!$A$5:$J$137,8,FALSE),"")</x:f>
      </x:c>
      <x:c r="S65" s="35" t="str">
        <x:f>IF(F65&lt;500,"REJECT",IF(OR(I65&gt;=2,J65&gt;60),"REJECT",IF(F65&lt;560,"REVIEW",IF(G65="","REVIEW",IF(AND(L65&lt;&gt;"Y",G65&gt;0.7),"REVIEW","PASS")))))</x:f>
        <x:v>REVIEW</x:v>
      </x:c>
      <x:c r="T65" s="35" t="str">
        <x:f>M65&amp;"→"&amp;S65</x:f>
        <x:v>REVIEW→REVIEW</x:v>
      </x:c>
    </x:row>
    <x:row r="66">
      <x:c r="A66" s="42" t="str">
        <x:v>APP2025000062</x:v>
      </x:c>
      <x:c r="B66" s="43" t="n">
        <x:f>VLOOKUP($A66,'01_申请数据'!$A$5:$L$204,3,FALSE)</x:f>
        <x:v>45711.40694444445</x:v>
      </x:c>
      <x:c r="C66" s="44" t="n">
        <x:f>VLOOKUP($A66,'01_申请数据'!$A$5:$L$204,5,FALSE)</x:f>
        <x:v>143000</x:v>
      </x:c>
      <x:c r="D66" s="45" t="n">
        <x:f>VLOOKUP($A66,'01_申请数据'!$A$5:$L$204,6,FALSE)</x:f>
        <x:v>36</x:v>
      </x:c>
      <x:c r="E66" s="44" t="n">
        <x:f>VLOOKUP($A66,'01_申请数据'!$A$5:$L$204,10,FALSE)</x:f>
        <x:v>8700</x:v>
      </x:c>
      <x:c r="F66" s="45" t="n">
        <x:f>VLOOKUP($A66,'02_征信特征'!$A$5:$J$204,3,FALSE)</x:f>
        <x:v>633</x:v>
      </x:c>
      <x:c r="G66" s="46" t="n">
        <x:f>VLOOKUP($A66,'02_征信特征'!$A$5:$J$204,4,FALSE)</x:f>
        <x:v>1</x:v>
      </x:c>
      <x:c r="H66" s="45" t="n">
        <x:f>VLOOKUP($A66,'02_征信特征'!$A$5:$J$204,5,FALSE)</x:f>
        <x:v>3</x:v>
      </x:c>
      <x:c r="I66" s="45" t="n">
        <x:f>VLOOKUP($A66,'02_征信特征'!$A$5:$J$204,6,FALSE)</x:f>
        <x:v>0</x:v>
      </x:c>
      <x:c r="J66" s="45" t="n">
        <x:f>VLOOKUP($A66,'02_征信特征'!$A$5:$J$204,7,FALSE)</x:f>
        <x:v>0</x:v>
      </x:c>
      <x:c r="K66" s="45" t="n">
        <x:f>VLOOKUP($A66,'02_征信特征'!$A$5:$J$204,8,FALSE)</x:f>
        <x:v>11</x:v>
      </x:c>
      <x:c r="L66" s="42" t="str">
        <x:f>VLOOKUP($A66,'02_征信特征'!$A$5:$J$204,9,FALSE)</x:f>
        <x:v>N</x:v>
      </x:c>
      <x:c r="M66" s="42" t="str">
        <x:f>VLOOKUP($A66,'03_决策日志'!$A$5:$G$204,4,FALSE)</x:f>
        <x:v>REVIEW</x:v>
      </x:c>
      <x:c r="N66" s="42" t="str">
        <x:f>IFERROR(VLOOKUP($A66,'04_人工审核'!$A$5:$H$57,6,FALSE),"NOT_REQUIRED")</x:f>
        <x:v>APPROVE</x:v>
      </x:c>
      <x:c r="O66" s="42" t="str">
        <x:f>IFERROR(VLOOKUP($A66,'05_贷后表现'!$A$5:$J$137,2,FALSE),"N")</x:f>
        <x:v>Y</x:v>
      </x:c>
      <x:c r="P66" s="42" t="str">
        <x:f>IFERROR(VLOOKUP($A66,'05_贷后表现'!$A$5:$J$137,6,FALSE),"")</x:f>
        <x:v>N</x:v>
      </x:c>
      <x:c r="Q66" s="42" t="str">
        <x:f>IFERROR(VLOOKUP($A66,'05_贷后表现'!$A$5:$J$137,7,FALSE),"")</x:f>
        <x:v>N</x:v>
      </x:c>
      <x:c r="R66" s="45" t="n">
        <x:f>IFERROR(VLOOKUP($A66,'05_贷后表现'!$A$5:$J$137,8,FALSE),"")</x:f>
        <x:v>6</x:v>
      </x:c>
      <x:c r="S66" s="35" t="str">
        <x:f>IF(F66&lt;500,"REJECT",IF(OR(I66&gt;=2,J66&gt;60),"REJECT",IF(F66&lt;560,"REVIEW",IF(G66="","REVIEW",IF(AND(L66&lt;&gt;"Y",G66&gt;0.7),"REVIEW","PASS")))))</x:f>
        <x:v>REVIEW</x:v>
      </x:c>
      <x:c r="T66" s="35" t="str">
        <x:f>M66&amp;"→"&amp;S66</x:f>
        <x:v>REVIEW→REVIEW</x:v>
      </x:c>
    </x:row>
    <x:row r="67">
      <x:c r="A67" s="42" t="str">
        <x:v>APP2025000063</x:v>
      </x:c>
      <x:c r="B67" s="43" t="n">
        <x:f>VLOOKUP($A67,'01_申请数据'!$A$5:$L$204,3,FALSE)</x:f>
        <x:v>45837.370833333334</x:v>
      </x:c>
      <x:c r="C67" s="44" t="n">
        <x:f>VLOOKUP($A67,'01_申请数据'!$A$5:$L$204,5,FALSE)</x:f>
        <x:v>13000</x:v>
      </x:c>
      <x:c r="D67" s="45" t="n">
        <x:f>VLOOKUP($A67,'01_申请数据'!$A$5:$L$204,6,FALSE)</x:f>
        <x:v>36</x:v>
      </x:c>
      <x:c r="E67" s="44" t="n">
        <x:f>VLOOKUP($A67,'01_申请数据'!$A$5:$L$204,10,FALSE)</x:f>
        <x:v>7900</x:v>
      </x:c>
      <x:c r="F67" s="45" t="n">
        <x:f>VLOOKUP($A67,'02_征信特征'!$A$5:$J$204,3,FALSE)</x:f>
        <x:v>649</x:v>
      </x:c>
      <x:c r="G67" s="46" t="n">
        <x:f>VLOOKUP($A67,'02_征信特征'!$A$5:$J$204,4,FALSE)</x:f>
        <x:v>1.013</x:v>
      </x:c>
      <x:c r="H67" s="45" t="n">
        <x:f>VLOOKUP($A67,'02_征信特征'!$A$5:$J$204,5,FALSE)</x:f>
        <x:v>2</x:v>
      </x:c>
      <x:c r="I67" s="45" t="n">
        <x:f>VLOOKUP($A67,'02_征信特征'!$A$5:$J$204,6,FALSE)</x:f>
        <x:v>0</x:v>
      </x:c>
      <x:c r="J67" s="45" t="n">
        <x:f>VLOOKUP($A67,'02_征信特征'!$A$5:$J$204,7,FALSE)</x:f>
        <x:v>0</x:v>
      </x:c>
      <x:c r="K67" s="45" t="n">
        <x:f>VLOOKUP($A67,'02_征信特征'!$A$5:$J$204,8,FALSE)</x:f>
        <x:v>8</x:v>
      </x:c>
      <x:c r="L67" s="42" t="str">
        <x:f>VLOOKUP($A67,'02_征信特征'!$A$5:$J$204,9,FALSE)</x:f>
        <x:v>N</x:v>
      </x:c>
      <x:c r="M67" s="42" t="str">
        <x:f>VLOOKUP($A67,'03_决策日志'!$A$5:$G$204,4,FALSE)</x:f>
        <x:v>REVIEW</x:v>
      </x:c>
      <x:c r="N67" s="42" t="str">
        <x:f>IFERROR(VLOOKUP($A67,'04_人工审核'!$A$5:$H$57,6,FALSE),"NOT_REQUIRED")</x:f>
        <x:v>APPROVE</x:v>
      </x:c>
      <x:c r="O67" s="42" t="str">
        <x:f>IFERROR(VLOOKUP($A67,'05_贷后表现'!$A$5:$J$137,2,FALSE),"N")</x:f>
        <x:v>N</x:v>
      </x:c>
      <x:c r="P67" s="42" t="str">
        <x:f>IFERROR(VLOOKUP($A67,'05_贷后表现'!$A$5:$J$137,6,FALSE),"")</x:f>
      </x:c>
      <x:c r="Q67" s="42" t="str">
        <x:f>IFERROR(VLOOKUP($A67,'05_贷后表现'!$A$5:$J$137,7,FALSE),"")</x:f>
      </x:c>
      <x:c r="R67" s="45" t="str">
        <x:f>IFERROR(VLOOKUP($A67,'05_贷后表现'!$A$5:$J$137,8,FALSE),"")</x:f>
      </x:c>
      <x:c r="S67" s="35" t="str">
        <x:f>IF(F67&lt;500,"REJECT",IF(OR(I67&gt;=2,J67&gt;60),"REJECT",IF(F67&lt;560,"REVIEW",IF(G67="","REVIEW",IF(AND(L67&lt;&gt;"Y",G67&gt;0.7),"REVIEW","PASS")))))</x:f>
        <x:v>REVIEW</x:v>
      </x:c>
      <x:c r="T67" s="35" t="str">
        <x:f>M67&amp;"→"&amp;S67</x:f>
        <x:v>REVIEW→REVIEW</x:v>
      </x:c>
    </x:row>
    <x:row r="68">
      <x:c r="A68" s="42" t="str">
        <x:v>APP2025000064</x:v>
      </x:c>
      <x:c r="B68" s="43" t="n">
        <x:f>VLOOKUP($A68,'01_申请数据'!$A$5:$L$204,3,FALSE)</x:f>
        <x:v>45782.61111111111</x:v>
      </x:c>
      <x:c r="C68" s="44" t="n">
        <x:f>VLOOKUP($A68,'01_申请数据'!$A$5:$L$204,5,FALSE)</x:f>
        <x:v>46000</x:v>
      </x:c>
      <x:c r="D68" s="45" t="n">
        <x:f>VLOOKUP($A68,'01_申请数据'!$A$5:$L$204,6,FALSE)</x:f>
        <x:v>18</x:v>
      </x:c>
      <x:c r="E68" s="44" t="n">
        <x:f>VLOOKUP($A68,'01_申请数据'!$A$5:$L$204,10,FALSE)</x:f>
        <x:v>25700</x:v>
      </x:c>
      <x:c r="F68" s="45" t="n">
        <x:f>VLOOKUP($A68,'02_征信特征'!$A$5:$J$204,3,FALSE)</x:f>
        <x:v>674</x:v>
      </x:c>
      <x:c r="G68" s="46" t="n">
        <x:f>VLOOKUP($A68,'02_征信特征'!$A$5:$J$204,4,FALSE)</x:f>
        <x:v>0.233</x:v>
      </x:c>
      <x:c r="H68" s="45" t="n">
        <x:f>VLOOKUP($A68,'02_征信特征'!$A$5:$J$204,5,FALSE)</x:f>
        <x:v>1</x:v>
      </x:c>
      <x:c r="I68" s="45" t="n">
        <x:f>VLOOKUP($A68,'02_征信特征'!$A$5:$J$204,6,FALSE)</x:f>
        <x:v>0</x:v>
      </x:c>
      <x:c r="J68" s="45" t="n">
        <x:f>VLOOKUP($A68,'02_征信特征'!$A$5:$J$204,7,FALSE)</x:f>
        <x:v>0</x:v>
      </x:c>
      <x:c r="K68" s="45" t="n">
        <x:f>VLOOKUP($A68,'02_征信特征'!$A$5:$J$204,8,FALSE)</x:f>
        <x:v>4</x:v>
      </x:c>
      <x:c r="L68" s="42" t="str">
        <x:f>VLOOKUP($A68,'02_征信特征'!$A$5:$J$204,9,FALSE)</x:f>
        <x:v>N</x:v>
      </x:c>
      <x:c r="M68" s="42" t="str">
        <x:f>VLOOKUP($A68,'03_决策日志'!$A$5:$G$204,4,FALSE)</x:f>
        <x:v>PASS</x:v>
      </x:c>
      <x:c r="N68" s="42" t="str">
        <x:f>IFERROR(VLOOKUP($A68,'04_人工审核'!$A$5:$H$57,6,FALSE),"NOT_REQUIRED")</x:f>
        <x:v>NOT_REQUIRED</x:v>
      </x:c>
      <x:c r="O68" s="42" t="str">
        <x:f>IFERROR(VLOOKUP($A68,'05_贷后表现'!$A$5:$J$137,2,FALSE),"N")</x:f>
        <x:v>Y</x:v>
      </x:c>
      <x:c r="P68" s="42" t="str">
        <x:f>IFERROR(VLOOKUP($A68,'05_贷后表现'!$A$5:$J$137,6,FALSE),"")</x:f>
        <x:v>N</x:v>
      </x:c>
      <x:c r="Q68" s="42" t="str">
        <x:f>IFERROR(VLOOKUP($A68,'05_贷后表现'!$A$5:$J$137,7,FALSE),"")</x:f>
        <x:v>N</x:v>
      </x:c>
      <x:c r="R68" s="45" t="n">
        <x:f>IFERROR(VLOOKUP($A68,'05_贷后表现'!$A$5:$J$137,8,FALSE),"")</x:f>
        <x:v>12</x:v>
      </x:c>
      <x:c r="S68" s="35" t="str">
        <x:f>IF(F68&lt;500,"REJECT",IF(OR(I68&gt;=2,J68&gt;60),"REJECT",IF(F68&lt;560,"REVIEW",IF(G68="","REVIEW",IF(AND(L68&lt;&gt;"Y",G68&gt;0.7),"REVIEW","PASS")))))</x:f>
        <x:v>PASS</x:v>
      </x:c>
      <x:c r="T68" s="35" t="str">
        <x:f>M68&amp;"→"&amp;S68</x:f>
        <x:v>PASS→PASS</x:v>
      </x:c>
    </x:row>
    <x:row r="69">
      <x:c r="A69" s="42" t="str">
        <x:v>APP2025000065</x:v>
      </x:c>
      <x:c r="B69" s="43" t="n">
        <x:f>VLOOKUP($A69,'01_申请数据'!$A$5:$L$204,3,FALSE)</x:f>
        <x:v>45721.55069444444</x:v>
      </x:c>
      <x:c r="C69" s="44" t="n">
        <x:f>VLOOKUP($A69,'01_申请数据'!$A$5:$L$204,5,FALSE)</x:f>
        <x:v>148000</x:v>
      </x:c>
      <x:c r="D69" s="45" t="n">
        <x:f>VLOOKUP($A69,'01_申请数据'!$A$5:$L$204,6,FALSE)</x:f>
        <x:v>6</x:v>
      </x:c>
      <x:c r="E69" s="44" t="n">
        <x:f>VLOOKUP($A69,'01_申请数据'!$A$5:$L$204,10,FALSE)</x:f>
        <x:v>24500</x:v>
      </x:c>
      <x:c r="F69" s="45" t="n">
        <x:f>VLOOKUP($A69,'02_征信特征'!$A$5:$J$204,3,FALSE)</x:f>
        <x:v>540</x:v>
      </x:c>
      <x:c r="G69" s="46" t="n">
        <x:f>VLOOKUP($A69,'02_征信特征'!$A$5:$J$204,4,FALSE)</x:f>
        <x:v>0.698</x:v>
      </x:c>
      <x:c r="H69" s="45" t="n">
        <x:f>VLOOKUP($A69,'02_征信特征'!$A$5:$J$204,5,FALSE)</x:f>
        <x:v>4</x:v>
      </x:c>
      <x:c r="I69" s="45" t="n">
        <x:f>VLOOKUP($A69,'02_征信特征'!$A$5:$J$204,6,FALSE)</x:f>
        <x:v>2</x:v>
      </x:c>
      <x:c r="J69" s="45" t="n">
        <x:f>VLOOKUP($A69,'02_征信特征'!$A$5:$J$204,7,FALSE)</x:f>
        <x:v>12</x:v>
      </x:c>
      <x:c r="K69" s="45" t="n">
        <x:f>VLOOKUP($A69,'02_征信特征'!$A$5:$J$204,8,FALSE)</x:f>
        <x:v>6</x:v>
      </x:c>
      <x:c r="L69" s="42" t="str">
        <x:f>VLOOKUP($A69,'02_征信特征'!$A$5:$J$204,9,FALSE)</x:f>
        <x:v>N</x:v>
      </x:c>
      <x:c r="M69" s="42" t="str">
        <x:f>VLOOKUP($A69,'03_决策日志'!$A$5:$G$204,4,FALSE)</x:f>
        <x:v>REVIEW</x:v>
      </x:c>
      <x:c r="N69" s="42" t="str">
        <x:f>IFERROR(VLOOKUP($A69,'04_人工审核'!$A$5:$H$57,6,FALSE),"NOT_REQUIRED")</x:f>
        <x:v>APPROVE</x:v>
      </x:c>
      <x:c r="O69" s="42" t="str">
        <x:f>IFERROR(VLOOKUP($A69,'05_贷后表现'!$A$5:$J$137,2,FALSE),"N")</x:f>
        <x:v>Y</x:v>
      </x:c>
      <x:c r="P69" s="42" t="str">
        <x:f>IFERROR(VLOOKUP($A69,'05_贷后表现'!$A$5:$J$137,6,FALSE),"")</x:f>
        <x:v>N</x:v>
      </x:c>
      <x:c r="Q69" s="42" t="str">
        <x:f>IFERROR(VLOOKUP($A69,'05_贷后表现'!$A$5:$J$137,7,FALSE),"")</x:f>
        <x:v>N</x:v>
      </x:c>
      <x:c r="R69" s="45" t="n">
        <x:f>IFERROR(VLOOKUP($A69,'05_贷后表现'!$A$5:$J$137,8,FALSE),"")</x:f>
        <x:v>10</x:v>
      </x:c>
      <x:c r="S69" s="35" t="str">
        <x:f>IF(F69&lt;500,"REJECT",IF(OR(I69&gt;=2,J69&gt;60),"REJECT",IF(F69&lt;560,"REVIEW",IF(G69="","REVIEW",IF(AND(L69&lt;&gt;"Y",G69&gt;0.7),"REVIEW","PASS")))))</x:f>
        <x:v>REJECT</x:v>
      </x:c>
      <x:c r="T69" s="35" t="str">
        <x:f>M69&amp;"→"&amp;S69</x:f>
        <x:v>REVIEW→REJECT</x:v>
      </x:c>
    </x:row>
    <x:row r="70">
      <x:c r="A70" s="42" t="str">
        <x:v>APP2025000066</x:v>
      </x:c>
      <x:c r="B70" s="43" t="n">
        <x:f>VLOOKUP($A70,'01_申请数据'!$A$5:$L$204,3,FALSE)</x:f>
        <x:v>45804.458333333336</x:v>
      </x:c>
      <x:c r="C70" s="44" t="n">
        <x:f>VLOOKUP($A70,'01_申请数据'!$A$5:$L$204,5,FALSE)</x:f>
        <x:v>13000</x:v>
      </x:c>
      <x:c r="D70" s="45" t="n">
        <x:f>VLOOKUP($A70,'01_申请数据'!$A$5:$L$204,6,FALSE)</x:f>
        <x:v>6</x:v>
      </x:c>
      <x:c r="E70" s="44" t="n">
        <x:f>VLOOKUP($A70,'01_申请数据'!$A$5:$L$204,10,FALSE)</x:f>
        <x:v>8400</x:v>
      </x:c>
      <x:c r="F70" s="45" t="n">
        <x:f>VLOOKUP($A70,'02_征信特征'!$A$5:$J$204,3,FALSE)</x:f>
        <x:v>600</x:v>
      </x:c>
      <x:c r="G70" s="46" t="n">
        <x:f>VLOOKUP($A70,'02_征信特征'!$A$5:$J$204,4,FALSE)</x:f>
        <x:v>0.986</x:v>
      </x:c>
      <x:c r="H70" s="45" t="n">
        <x:f>VLOOKUP($A70,'02_征信特征'!$A$5:$J$204,5,FALSE)</x:f>
        <x:v>1</x:v>
      </x:c>
      <x:c r="I70" s="45" t="n">
        <x:f>VLOOKUP($A70,'02_征信特征'!$A$5:$J$204,6,FALSE)</x:f>
        <x:v>0</x:v>
      </x:c>
      <x:c r="J70" s="45" t="n">
        <x:f>VLOOKUP($A70,'02_征信特征'!$A$5:$J$204,7,FALSE)</x:f>
        <x:v>0</x:v>
      </x:c>
      <x:c r="K70" s="45" t="n">
        <x:f>VLOOKUP($A70,'02_征信特征'!$A$5:$J$204,8,FALSE)</x:f>
        <x:v>1</x:v>
      </x:c>
      <x:c r="L70" s="42" t="str">
        <x:f>VLOOKUP($A70,'02_征信特征'!$A$5:$J$204,9,FALSE)</x:f>
        <x:v>N</x:v>
      </x:c>
      <x:c r="M70" s="42" t="str">
        <x:f>VLOOKUP($A70,'03_决策日志'!$A$5:$G$204,4,FALSE)</x:f>
        <x:v>REVIEW</x:v>
      </x:c>
      <x:c r="N70" s="42" t="str">
        <x:f>IFERROR(VLOOKUP($A70,'04_人工审核'!$A$5:$H$57,6,FALSE),"NOT_REQUIRED")</x:f>
        <x:v>APPROVE</x:v>
      </x:c>
      <x:c r="O70" s="42" t="str">
        <x:f>IFERROR(VLOOKUP($A70,'05_贷后表现'!$A$5:$J$137,2,FALSE),"N")</x:f>
        <x:v>Y</x:v>
      </x:c>
      <x:c r="P70" s="42" t="str">
        <x:f>IFERROR(VLOOKUP($A70,'05_贷后表现'!$A$5:$J$137,6,FALSE),"")</x:f>
        <x:v>Y</x:v>
      </x:c>
      <x:c r="Q70" s="42" t="str">
        <x:f>IFERROR(VLOOKUP($A70,'05_贷后表现'!$A$5:$J$137,7,FALSE),"")</x:f>
        <x:v>N</x:v>
      </x:c>
      <x:c r="R70" s="45" t="n">
        <x:f>IFERROR(VLOOKUP($A70,'05_贷后表现'!$A$5:$J$137,8,FALSE),"")</x:f>
        <x:v>15</x:v>
      </x:c>
      <x:c r="S70" s="35" t="str">
        <x:f>IF(F70&lt;500,"REJECT",IF(OR(I70&gt;=2,J70&gt;60),"REJECT",IF(F70&lt;560,"REVIEW",IF(G70="","REVIEW",IF(AND(L70&lt;&gt;"Y",G70&gt;0.7),"REVIEW","PASS")))))</x:f>
        <x:v>REVIEW</x:v>
      </x:c>
      <x:c r="T70" s="35" t="str">
        <x:f>M70&amp;"→"&amp;S70</x:f>
        <x:v>REVIEW→REVIEW</x:v>
      </x:c>
    </x:row>
    <x:row r="71">
      <x:c r="A71" s="42" t="str">
        <x:v>APP2025000067</x:v>
      </x:c>
      <x:c r="B71" s="43" t="n">
        <x:f>VLOOKUP($A71,'01_申请数据'!$A$5:$L$204,3,FALSE)</x:f>
        <x:v>45745.46875</x:v>
      </x:c>
      <x:c r="C71" s="44" t="n">
        <x:f>VLOOKUP($A71,'01_申请数据'!$A$5:$L$204,5,FALSE)</x:f>
        <x:v>106000</x:v>
      </x:c>
      <x:c r="D71" s="45" t="n">
        <x:f>VLOOKUP($A71,'01_申请数据'!$A$5:$L$204,6,FALSE)</x:f>
        <x:v>6</x:v>
      </x:c>
      <x:c r="E71" s="44" t="n">
        <x:f>VLOOKUP($A71,'01_申请数据'!$A$5:$L$204,10,FALSE)</x:f>
        <x:v>24500</x:v>
      </x:c>
      <x:c r="F71" s="45" t="n">
        <x:f>VLOOKUP($A71,'02_征信特征'!$A$5:$J$204,3,FALSE)</x:f>
        <x:v>643</x:v>
      </x:c>
      <x:c r="G71" s="46" t="n">
        <x:f>VLOOKUP($A71,'02_征信特征'!$A$5:$J$204,4,FALSE)</x:f>
        <x:v>0.576</x:v>
      </x:c>
      <x:c r="H71" s="45" t="n">
        <x:f>VLOOKUP($A71,'02_征信特征'!$A$5:$J$204,5,FALSE)</x:f>
        <x:v>3</x:v>
      </x:c>
      <x:c r="I71" s="45" t="n">
        <x:f>VLOOKUP($A71,'02_征信特征'!$A$5:$J$204,6,FALSE)</x:f>
        <x:v>1</x:v>
      </x:c>
      <x:c r="J71" s="45" t="n">
        <x:f>VLOOKUP($A71,'02_征信特征'!$A$5:$J$204,7,FALSE)</x:f>
        <x:v>13</x:v>
      </x:c>
      <x:c r="K71" s="45" t="n">
        <x:f>VLOOKUP($A71,'02_征信特征'!$A$5:$J$204,8,FALSE)</x:f>
        <x:v>3</x:v>
      </x:c>
      <x:c r="L71" s="42" t="str">
        <x:f>VLOOKUP($A71,'02_征信特征'!$A$5:$J$204,9,FALSE)</x:f>
        <x:v>Y</x:v>
      </x:c>
      <x:c r="M71" s="42" t="str">
        <x:f>VLOOKUP($A71,'03_决策日志'!$A$5:$G$204,4,FALSE)</x:f>
        <x:v>PASS</x:v>
      </x:c>
      <x:c r="N71" s="42" t="str">
        <x:f>IFERROR(VLOOKUP($A71,'04_人工审核'!$A$5:$H$57,6,FALSE),"NOT_REQUIRED")</x:f>
        <x:v>NOT_REQUIRED</x:v>
      </x:c>
      <x:c r="O71" s="42" t="str">
        <x:f>IFERROR(VLOOKUP($A71,'05_贷后表现'!$A$5:$J$137,2,FALSE),"N")</x:f>
        <x:v>N</x:v>
      </x:c>
      <x:c r="P71" s="42" t="str">
        <x:f>IFERROR(VLOOKUP($A71,'05_贷后表现'!$A$5:$J$137,6,FALSE),"")</x:f>
      </x:c>
      <x:c r="Q71" s="42" t="str">
        <x:f>IFERROR(VLOOKUP($A71,'05_贷后表现'!$A$5:$J$137,7,FALSE),"")</x:f>
      </x:c>
      <x:c r="R71" s="45" t="str">
        <x:f>IFERROR(VLOOKUP($A71,'05_贷后表现'!$A$5:$J$137,8,FALSE),"")</x:f>
      </x:c>
      <x:c r="S71" s="35" t="str">
        <x:f>IF(F71&lt;500,"REJECT",IF(OR(I71&gt;=2,J71&gt;60),"REJECT",IF(F71&lt;560,"REVIEW",IF(G71="","REVIEW",IF(AND(L71&lt;&gt;"Y",G71&gt;0.7),"REVIEW","PASS")))))</x:f>
        <x:v>PASS</x:v>
      </x:c>
      <x:c r="T71" s="35" t="str">
        <x:f>M71&amp;"→"&amp;S71</x:f>
        <x:v>PASS→PASS</x:v>
      </x:c>
    </x:row>
    <x:row r="72">
      <x:c r="A72" s="42" t="str">
        <x:v>APP2025000068</x:v>
      </x:c>
      <x:c r="B72" s="43" t="n">
        <x:f>VLOOKUP($A72,'01_申请数据'!$A$5:$L$204,3,FALSE)</x:f>
        <x:v>45736.73125</x:v>
      </x:c>
      <x:c r="C72" s="44" t="n">
        <x:f>VLOOKUP($A72,'01_申请数据'!$A$5:$L$204,5,FALSE)</x:f>
        <x:v>59000</x:v>
      </x:c>
      <x:c r="D72" s="45" t="n">
        <x:f>VLOOKUP($A72,'01_申请数据'!$A$5:$L$204,6,FALSE)</x:f>
        <x:v>36</x:v>
      </x:c>
      <x:c r="E72" s="44" t="n">
        <x:f>VLOOKUP($A72,'01_申请数据'!$A$5:$L$204,10,FALSE)</x:f>
        <x:v>12200</x:v>
      </x:c>
      <x:c r="F72" s="45" t="n">
        <x:f>VLOOKUP($A72,'02_征信特征'!$A$5:$J$204,3,FALSE)</x:f>
        <x:v>616</x:v>
      </x:c>
      <x:c r="G72" s="46" t="n">
        <x:f>VLOOKUP($A72,'02_征信特征'!$A$5:$J$204,4,FALSE)</x:f>
        <x:v>0.912</x:v>
      </x:c>
      <x:c r="H72" s="45" t="n">
        <x:f>VLOOKUP($A72,'02_征信特征'!$A$5:$J$204,5,FALSE)</x:f>
        <x:v>1</x:v>
      </x:c>
      <x:c r="I72" s="45" t="n">
        <x:f>VLOOKUP($A72,'02_征信特征'!$A$5:$J$204,6,FALSE)</x:f>
        <x:v>0</x:v>
      </x:c>
      <x:c r="J72" s="45" t="n">
        <x:f>VLOOKUP($A72,'02_征信特征'!$A$5:$J$204,7,FALSE)</x:f>
        <x:v>0</x:v>
      </x:c>
      <x:c r="K72" s="45" t="n">
        <x:f>VLOOKUP($A72,'02_征信特征'!$A$5:$J$204,8,FALSE)</x:f>
        <x:v>7</x:v>
      </x:c>
      <x:c r="L72" s="42" t="str">
        <x:f>VLOOKUP($A72,'02_征信特征'!$A$5:$J$204,9,FALSE)</x:f>
        <x:v>N</x:v>
      </x:c>
      <x:c r="M72" s="42" t="str">
        <x:f>VLOOKUP($A72,'03_决策日志'!$A$5:$G$204,4,FALSE)</x:f>
        <x:v>REVIEW</x:v>
      </x:c>
      <x:c r="N72" s="42" t="str">
        <x:f>IFERROR(VLOOKUP($A72,'04_人工审核'!$A$5:$H$57,6,FALSE),"NOT_REQUIRED")</x:f>
        <x:v>APPROVE</x:v>
      </x:c>
      <x:c r="O72" s="42" t="str">
        <x:f>IFERROR(VLOOKUP($A72,'05_贷后表现'!$A$5:$J$137,2,FALSE),"N")</x:f>
        <x:v>Y</x:v>
      </x:c>
      <x:c r="P72" s="42" t="str">
        <x:f>IFERROR(VLOOKUP($A72,'05_贷后表现'!$A$5:$J$137,6,FALSE),"")</x:f>
        <x:v>N</x:v>
      </x:c>
      <x:c r="Q72" s="42" t="str">
        <x:f>IFERROR(VLOOKUP($A72,'05_贷后表现'!$A$5:$J$137,7,FALSE),"")</x:f>
        <x:v>N</x:v>
      </x:c>
      <x:c r="R72" s="45" t="n">
        <x:f>IFERROR(VLOOKUP($A72,'05_贷后表现'!$A$5:$J$137,8,FALSE),"")</x:f>
        <x:v>7</x:v>
      </x:c>
      <x:c r="S72" s="35" t="str">
        <x:f>IF(F72&lt;500,"REJECT",IF(OR(I72&gt;=2,J72&gt;60),"REJECT",IF(F72&lt;560,"REVIEW",IF(G72="","REVIEW",IF(AND(L72&lt;&gt;"Y",G72&gt;0.7),"REVIEW","PASS")))))</x:f>
        <x:v>REVIEW</x:v>
      </x:c>
      <x:c r="T72" s="35" t="str">
        <x:f>M72&amp;"→"&amp;S72</x:f>
        <x:v>REVIEW→REVIEW</x:v>
      </x:c>
    </x:row>
    <x:row r="73">
      <x:c r="A73" s="42" t="str">
        <x:v>APP2025000069</x:v>
      </x:c>
      <x:c r="B73" s="43" t="n">
        <x:f>VLOOKUP($A73,'01_申请数据'!$A$5:$L$204,3,FALSE)</x:f>
        <x:v>45832.40972222222</x:v>
      </x:c>
      <x:c r="C73" s="44" t="n">
        <x:f>VLOOKUP($A73,'01_申请数据'!$A$5:$L$204,5,FALSE)</x:f>
        <x:v>78000</x:v>
      </x:c>
      <x:c r="D73" s="45" t="n">
        <x:f>VLOOKUP($A73,'01_申请数据'!$A$5:$L$204,6,FALSE)</x:f>
        <x:v>36</x:v>
      </x:c>
      <x:c r="E73" s="44" t="n">
        <x:f>VLOOKUP($A73,'01_申请数据'!$A$5:$L$204,10,FALSE)</x:f>
        <x:v>14800</x:v>
      </x:c>
      <x:c r="F73" s="45" t="n">
        <x:f>VLOOKUP($A73,'02_征信特征'!$A$5:$J$204,3,FALSE)</x:f>
        <x:v>611</x:v>
      </x:c>
      <x:c r="G73" s="46" t="n">
        <x:f>VLOOKUP($A73,'02_征信特征'!$A$5:$J$204,4,FALSE)</x:f>
        <x:v>0.83</x:v>
      </x:c>
      <x:c r="H73" s="45" t="n">
        <x:f>VLOOKUP($A73,'02_征信特征'!$A$5:$J$204,5,FALSE)</x:f>
        <x:v>4</x:v>
      </x:c>
      <x:c r="I73" s="45" t="n">
        <x:f>VLOOKUP($A73,'02_征信特征'!$A$5:$J$204,6,FALSE)</x:f>
        <x:v>1</x:v>
      </x:c>
      <x:c r="J73" s="45" t="n">
        <x:f>VLOOKUP($A73,'02_征信特征'!$A$5:$J$204,7,FALSE)</x:f>
        <x:v>61</x:v>
      </x:c>
      <x:c r="K73" s="45" t="n">
        <x:f>VLOOKUP($A73,'02_征信特征'!$A$5:$J$204,8,FALSE)</x:f>
        <x:v>3</x:v>
      </x:c>
      <x:c r="L73" s="42" t="str">
        <x:f>VLOOKUP($A73,'02_征信特征'!$A$5:$J$204,9,FALSE)</x:f>
        <x:v>N</x:v>
      </x:c>
      <x:c r="M73" s="42" t="str">
        <x:f>VLOOKUP($A73,'03_决策日志'!$A$5:$G$204,4,FALSE)</x:f>
        <x:v>REVIEW</x:v>
      </x:c>
      <x:c r="N73" s="42" t="str">
        <x:f>IFERROR(VLOOKUP($A73,'04_人工审核'!$A$5:$H$57,6,FALSE),"NOT_REQUIRED")</x:f>
        <x:v>DECLINE</x:v>
      </x:c>
      <x:c r="O73" s="42" t="str">
        <x:f>IFERROR(VLOOKUP($A73,'05_贷后表现'!$A$5:$J$137,2,FALSE),"N")</x:f>
        <x:v>N</x:v>
      </x:c>
      <x:c r="P73" s="42" t="str">
        <x:f>IFERROR(VLOOKUP($A73,'05_贷后表现'!$A$5:$J$137,6,FALSE),"")</x:f>
      </x:c>
      <x:c r="Q73" s="42" t="str">
        <x:f>IFERROR(VLOOKUP($A73,'05_贷后表现'!$A$5:$J$137,7,FALSE),"")</x:f>
      </x:c>
      <x:c r="R73" s="45" t="str">
        <x:f>IFERROR(VLOOKUP($A73,'05_贷后表现'!$A$5:$J$137,8,FALSE),"")</x:f>
      </x:c>
      <x:c r="S73" s="35" t="str">
        <x:f>IF(F73&lt;500,"REJECT",IF(OR(I73&gt;=2,J73&gt;60),"REJECT",IF(F73&lt;560,"REVIEW",IF(G73="","REVIEW",IF(AND(L73&lt;&gt;"Y",G73&gt;0.7),"REVIEW","PASS")))))</x:f>
        <x:v>REJECT</x:v>
      </x:c>
      <x:c r="T73" s="35" t="str">
        <x:f>M73&amp;"→"&amp;S73</x:f>
        <x:v>REVIEW→REJECT</x:v>
      </x:c>
    </x:row>
    <x:row r="74">
      <x:c r="A74" s="42" t="str">
        <x:v>APP2025000070</x:v>
      </x:c>
      <x:c r="B74" s="43" t="n">
        <x:f>VLOOKUP($A74,'01_申请数据'!$A$5:$L$204,3,FALSE)</x:f>
        <x:v>45673.63333333333</x:v>
      </x:c>
      <x:c r="C74" s="44" t="n">
        <x:f>VLOOKUP($A74,'01_申请数据'!$A$5:$L$204,5,FALSE)</x:f>
        <x:v>99000</x:v>
      </x:c>
      <x:c r="D74" s="45" t="n">
        <x:f>VLOOKUP($A74,'01_申请数据'!$A$5:$L$204,6,FALSE)</x:f>
        <x:v>6</x:v>
      </x:c>
      <x:c r="E74" s="44" t="n">
        <x:f>VLOOKUP($A74,'01_申请数据'!$A$5:$L$204,10,FALSE)</x:f>
        <x:v>14400</x:v>
      </x:c>
      <x:c r="F74" s="45" t="n">
        <x:f>VLOOKUP($A74,'02_征信特征'!$A$5:$J$204,3,FALSE)</x:f>
        <x:v>657</x:v>
      </x:c>
      <x:c r="G74" s="46" t="n">
        <x:f>VLOOKUP($A74,'02_征信特征'!$A$5:$J$204,4,FALSE)</x:f>
        <x:v>0.307</x:v>
      </x:c>
      <x:c r="H74" s="45" t="n">
        <x:f>VLOOKUP($A74,'02_征信特征'!$A$5:$J$204,5,FALSE)</x:f>
        <x:v>1</x:v>
      </x:c>
      <x:c r="I74" s="45" t="n">
        <x:f>VLOOKUP($A74,'02_征信特征'!$A$5:$J$204,6,FALSE)</x:f>
        <x:v>0</x:v>
      </x:c>
      <x:c r="J74" s="45" t="n">
        <x:f>VLOOKUP($A74,'02_征信特征'!$A$5:$J$204,7,FALSE)</x:f>
        <x:v>0</x:v>
      </x:c>
      <x:c r="K74" s="45" t="n">
        <x:f>VLOOKUP($A74,'02_征信特征'!$A$5:$J$204,8,FALSE)</x:f>
        <x:v>0</x:v>
      </x:c>
      <x:c r="L74" s="42" t="str">
        <x:f>VLOOKUP($A74,'02_征信特征'!$A$5:$J$204,9,FALSE)</x:f>
        <x:v>N</x:v>
      </x:c>
      <x:c r="M74" s="42" t="str">
        <x:f>VLOOKUP($A74,'03_决策日志'!$A$5:$G$204,4,FALSE)</x:f>
        <x:v>PASS</x:v>
      </x:c>
      <x:c r="N74" s="42" t="str">
        <x:f>IFERROR(VLOOKUP($A74,'04_人工审核'!$A$5:$H$57,6,FALSE),"NOT_REQUIRED")</x:f>
        <x:v>NOT_REQUIRED</x:v>
      </x:c>
      <x:c r="O74" s="42" t="str">
        <x:f>IFERROR(VLOOKUP($A74,'05_贷后表现'!$A$5:$J$137,2,FALSE),"N")</x:f>
        <x:v>Y</x:v>
      </x:c>
      <x:c r="P74" s="42" t="str">
        <x:f>IFERROR(VLOOKUP($A74,'05_贷后表现'!$A$5:$J$137,6,FALSE),"")</x:f>
        <x:v>N</x:v>
      </x:c>
      <x:c r="Q74" s="42" t="str">
        <x:f>IFERROR(VLOOKUP($A74,'05_贷后表现'!$A$5:$J$137,7,FALSE),"")</x:f>
        <x:v>N</x:v>
      </x:c>
      <x:c r="R74" s="45" t="n">
        <x:f>IFERROR(VLOOKUP($A74,'05_贷后表现'!$A$5:$J$137,8,FALSE),"")</x:f>
        <x:v>9</x:v>
      </x:c>
      <x:c r="S74" s="35" t="str">
        <x:f>IF(F74&lt;500,"REJECT",IF(OR(I74&gt;=2,J74&gt;60),"REJECT",IF(F74&lt;560,"REVIEW",IF(G74="","REVIEW",IF(AND(L74&lt;&gt;"Y",G74&gt;0.7),"REVIEW","PASS")))))</x:f>
        <x:v>PASS</x:v>
      </x:c>
      <x:c r="T74" s="35" t="str">
        <x:f>M74&amp;"→"&amp;S74</x:f>
        <x:v>PASS→PASS</x:v>
      </x:c>
    </x:row>
    <x:row r="75">
      <x:c r="A75" s="42" t="str">
        <x:v>APP2025000071</x:v>
      </x:c>
      <x:c r="B75" s="43" t="n">
        <x:f>VLOOKUP($A75,'01_申请数据'!$A$5:$L$204,3,FALSE)</x:f>
        <x:v>45807.69375</x:v>
      </x:c>
      <x:c r="C75" s="44" t="n">
        <x:f>VLOOKUP($A75,'01_申请数据'!$A$5:$L$204,5,FALSE)</x:f>
        <x:v>48000</x:v>
      </x:c>
      <x:c r="D75" s="45" t="n">
        <x:f>VLOOKUP($A75,'01_申请数据'!$A$5:$L$204,6,FALSE)</x:f>
        <x:v>12</x:v>
      </x:c>
      <x:c r="E75" s="44" t="n">
        <x:f>VLOOKUP($A75,'01_申请数据'!$A$5:$L$204,10,FALSE)</x:f>
        <x:v>25100</x:v>
      </x:c>
      <x:c r="F75" s="45" t="n">
        <x:f>VLOOKUP($A75,'02_征信特征'!$A$5:$J$204,3,FALSE)</x:f>
        <x:v>689</x:v>
      </x:c>
      <x:c r="G75" s="46" t="n">
        <x:f>VLOOKUP($A75,'02_征信特征'!$A$5:$J$204,4,FALSE)</x:f>
        <x:v>0.533</x:v>
      </x:c>
      <x:c r="H75" s="45" t="n">
        <x:f>VLOOKUP($A75,'02_征信特征'!$A$5:$J$204,5,FALSE)</x:f>
        <x:v>2</x:v>
      </x:c>
      <x:c r="I75" s="45" t="n">
        <x:f>VLOOKUP($A75,'02_征信特征'!$A$5:$J$204,6,FALSE)</x:f>
        <x:v>0</x:v>
      </x:c>
      <x:c r="J75" s="45" t="n">
        <x:f>VLOOKUP($A75,'02_征信特征'!$A$5:$J$204,7,FALSE)</x:f>
        <x:v>0</x:v>
      </x:c>
      <x:c r="K75" s="45" t="n">
        <x:f>VLOOKUP($A75,'02_征信特征'!$A$5:$J$204,8,FALSE)</x:f>
        <x:v>9</x:v>
      </x:c>
      <x:c r="L75" s="42" t="str">
        <x:f>VLOOKUP($A75,'02_征信特征'!$A$5:$J$204,9,FALSE)</x:f>
        <x:v>N</x:v>
      </x:c>
      <x:c r="M75" s="42" t="str">
        <x:f>VLOOKUP($A75,'03_决策日志'!$A$5:$G$204,4,FALSE)</x:f>
        <x:v>PASS</x:v>
      </x:c>
      <x:c r="N75" s="42" t="str">
        <x:f>IFERROR(VLOOKUP($A75,'04_人工审核'!$A$5:$H$57,6,FALSE),"NOT_REQUIRED")</x:f>
        <x:v>NOT_REQUIRED</x:v>
      </x:c>
      <x:c r="O75" s="42" t="str">
        <x:f>IFERROR(VLOOKUP($A75,'05_贷后表现'!$A$5:$J$137,2,FALSE),"N")</x:f>
        <x:v>Y</x:v>
      </x:c>
      <x:c r="P75" s="42" t="str">
        <x:f>IFERROR(VLOOKUP($A75,'05_贷后表现'!$A$5:$J$137,6,FALSE),"")</x:f>
        <x:v>N</x:v>
      </x:c>
      <x:c r="Q75" s="42" t="str">
        <x:f>IFERROR(VLOOKUP($A75,'05_贷后表现'!$A$5:$J$137,7,FALSE),"")</x:f>
        <x:v>N</x:v>
      </x:c>
      <x:c r="R75" s="45" t="n">
        <x:f>IFERROR(VLOOKUP($A75,'05_贷后表现'!$A$5:$J$137,8,FALSE),"")</x:f>
        <x:v>11</x:v>
      </x:c>
      <x:c r="S75" s="35" t="str">
        <x:f>IF(F75&lt;500,"REJECT",IF(OR(I75&gt;=2,J75&gt;60),"REJECT",IF(F75&lt;560,"REVIEW",IF(G75="","REVIEW",IF(AND(L75&lt;&gt;"Y",G75&gt;0.7),"REVIEW","PASS")))))</x:f>
        <x:v>PASS</x:v>
      </x:c>
      <x:c r="T75" s="35" t="str">
        <x:f>M75&amp;"→"&amp;S75</x:f>
        <x:v>PASS→PASS</x:v>
      </x:c>
    </x:row>
    <x:row r="76">
      <x:c r="A76" s="42" t="str">
        <x:v>APP2025000072</x:v>
      </x:c>
      <x:c r="B76" s="43" t="n">
        <x:f>VLOOKUP($A76,'01_申请数据'!$A$5:$L$204,3,FALSE)</x:f>
        <x:v>45695.67222222222</x:v>
      </x:c>
      <x:c r="C76" s="44" t="n">
        <x:f>VLOOKUP($A76,'01_申请数据'!$A$5:$L$204,5,FALSE)</x:f>
        <x:v>78000</x:v>
      </x:c>
      <x:c r="D76" s="45" t="n">
        <x:f>VLOOKUP($A76,'01_申请数据'!$A$5:$L$204,6,FALSE)</x:f>
        <x:v>6</x:v>
      </x:c>
      <x:c r="E76" s="44" t="n">
        <x:f>VLOOKUP($A76,'01_申请数据'!$A$5:$L$204,10,FALSE)</x:f>
        <x:v>26600</x:v>
      </x:c>
      <x:c r="F76" s="45" t="n">
        <x:f>VLOOKUP($A76,'02_征信特征'!$A$5:$J$204,3,FALSE)</x:f>
        <x:v>570</x:v>
      </x:c>
      <x:c r="G76" s="46" t="n">
        <x:f>VLOOKUP($A76,'02_征信特征'!$A$5:$J$204,4,FALSE)</x:f>
        <x:v>0.796</x:v>
      </x:c>
      <x:c r="H76" s="45" t="n">
        <x:f>VLOOKUP($A76,'02_征信特征'!$A$5:$J$204,5,FALSE)</x:f>
        <x:v>1</x:v>
      </x:c>
      <x:c r="I76" s="45" t="n">
        <x:f>VLOOKUP($A76,'02_征信特征'!$A$5:$J$204,6,FALSE)</x:f>
        <x:v>2</x:v>
      </x:c>
      <x:c r="J76" s="45" t="n">
        <x:f>VLOOKUP($A76,'02_征信特征'!$A$5:$J$204,7,FALSE)</x:f>
        <x:v>72</x:v>
      </x:c>
      <x:c r="K76" s="45" t="n">
        <x:f>VLOOKUP($A76,'02_征信特征'!$A$5:$J$204,8,FALSE)</x:f>
        <x:v>0</x:v>
      </x:c>
      <x:c r="L76" s="42" t="str">
        <x:f>VLOOKUP($A76,'02_征信特征'!$A$5:$J$204,9,FALSE)</x:f>
        <x:v>N</x:v>
      </x:c>
      <x:c r="M76" s="42" t="str">
        <x:f>VLOOKUP($A76,'03_决策日志'!$A$5:$G$204,4,FALSE)</x:f>
        <x:v>PASS</x:v>
      </x:c>
      <x:c r="N76" s="42" t="str">
        <x:f>IFERROR(VLOOKUP($A76,'04_人工审核'!$A$5:$H$57,6,FALSE),"NOT_REQUIRED")</x:f>
        <x:v>NOT_REQUIRED</x:v>
      </x:c>
      <x:c r="O76" s="42" t="str">
        <x:f>IFERROR(VLOOKUP($A76,'05_贷后表现'!$A$5:$J$137,2,FALSE),"N")</x:f>
        <x:v>N</x:v>
      </x:c>
      <x:c r="P76" s="42" t="str">
        <x:f>IFERROR(VLOOKUP($A76,'05_贷后表现'!$A$5:$J$137,6,FALSE),"")</x:f>
      </x:c>
      <x:c r="Q76" s="42" t="str">
        <x:f>IFERROR(VLOOKUP($A76,'05_贷后表现'!$A$5:$J$137,7,FALSE),"")</x:f>
      </x:c>
      <x:c r="R76" s="45" t="str">
        <x:f>IFERROR(VLOOKUP($A76,'05_贷后表现'!$A$5:$J$137,8,FALSE),"")</x:f>
      </x:c>
      <x:c r="S76" s="35" t="str">
        <x:f>IF(F76&lt;500,"REJECT",IF(OR(I76&gt;=2,J76&gt;60),"REJECT",IF(F76&lt;560,"REVIEW",IF(G76="","REVIEW",IF(AND(L76&lt;&gt;"Y",G76&gt;0.7),"REVIEW","PASS")))))</x:f>
        <x:v>REJECT</x:v>
      </x:c>
      <x:c r="T76" s="35" t="str">
        <x:f>M76&amp;"→"&amp;S76</x:f>
        <x:v>PASS→REJECT</x:v>
      </x:c>
    </x:row>
    <x:row r="77">
      <x:c r="A77" s="42" t="str">
        <x:v>APP2025000073</x:v>
      </x:c>
      <x:c r="B77" s="43" t="n">
        <x:f>VLOOKUP($A77,'01_申请数据'!$A$5:$L$204,3,FALSE)</x:f>
        <x:v>45668.354166666664</x:v>
      </x:c>
      <x:c r="C77" s="44" t="n">
        <x:f>VLOOKUP($A77,'01_申请数据'!$A$5:$L$204,5,FALSE)</x:f>
        <x:v>131000</x:v>
      </x:c>
      <x:c r="D77" s="45" t="n">
        <x:f>VLOOKUP($A77,'01_申请数据'!$A$5:$L$204,6,FALSE)</x:f>
        <x:v>36</x:v>
      </x:c>
      <x:c r="E77" s="44" t="n">
        <x:f>VLOOKUP($A77,'01_申请数据'!$A$5:$L$204,10,FALSE)</x:f>
        <x:v>7600</x:v>
      </x:c>
      <x:c r="F77" s="45" t="n">
        <x:f>VLOOKUP($A77,'02_征信特征'!$A$5:$J$204,3,FALSE)</x:f>
        <x:v>573</x:v>
      </x:c>
      <x:c r="G77" s="46" t="n">
        <x:f>VLOOKUP($A77,'02_征信特征'!$A$5:$J$204,4,FALSE)</x:f>
        <x:v>0.19</x:v>
      </x:c>
      <x:c r="H77" s="45" t="n">
        <x:f>VLOOKUP($A77,'02_征信特征'!$A$5:$J$204,5,FALSE)</x:f>
        <x:v>1</x:v>
      </x:c>
      <x:c r="I77" s="45" t="n">
        <x:f>VLOOKUP($A77,'02_征信特征'!$A$5:$J$204,6,FALSE)</x:f>
        <x:v>2</x:v>
      </x:c>
      <x:c r="J77" s="45" t="n">
        <x:f>VLOOKUP($A77,'02_征信特征'!$A$5:$J$204,7,FALSE)</x:f>
        <x:v>55</x:v>
      </x:c>
      <x:c r="K77" s="45" t="n">
        <x:f>VLOOKUP($A77,'02_征信特征'!$A$5:$J$204,8,FALSE)</x:f>
        <x:v>2</x:v>
      </x:c>
      <x:c r="L77" s="42" t="str">
        <x:f>VLOOKUP($A77,'02_征信特征'!$A$5:$J$204,9,FALSE)</x:f>
        <x:v>N</x:v>
      </x:c>
      <x:c r="M77" s="42" t="str">
        <x:f>VLOOKUP($A77,'03_决策日志'!$A$5:$G$204,4,FALSE)</x:f>
        <x:v>PASS</x:v>
      </x:c>
      <x:c r="N77" s="42" t="str">
        <x:f>IFERROR(VLOOKUP($A77,'04_人工审核'!$A$5:$H$57,6,FALSE),"NOT_REQUIRED")</x:f>
        <x:v>NOT_REQUIRED</x:v>
      </x:c>
      <x:c r="O77" s="42" t="str">
        <x:f>IFERROR(VLOOKUP($A77,'05_贷后表现'!$A$5:$J$137,2,FALSE),"N")</x:f>
        <x:v>Y</x:v>
      </x:c>
      <x:c r="P77" s="42" t="str">
        <x:f>IFERROR(VLOOKUP($A77,'05_贷后表现'!$A$5:$J$137,6,FALSE),"")</x:f>
        <x:v>Y</x:v>
      </x:c>
      <x:c r="Q77" s="42" t="str">
        <x:f>IFERROR(VLOOKUP($A77,'05_贷后表现'!$A$5:$J$137,7,FALSE),"")</x:f>
        <x:v>Y</x:v>
      </x:c>
      <x:c r="R77" s="45" t="n">
        <x:f>IFERROR(VLOOKUP($A77,'05_贷后表现'!$A$5:$J$137,8,FALSE),"")</x:f>
        <x:v>11</x:v>
      </x:c>
      <x:c r="S77" s="35" t="str">
        <x:f>IF(F77&lt;500,"REJECT",IF(OR(I77&gt;=2,J77&gt;60),"REJECT",IF(F77&lt;560,"REVIEW",IF(G77="","REVIEW",IF(AND(L77&lt;&gt;"Y",G77&gt;0.7),"REVIEW","PASS")))))</x:f>
        <x:v>REJECT</x:v>
      </x:c>
      <x:c r="T77" s="35" t="str">
        <x:f>M77&amp;"→"&amp;S77</x:f>
        <x:v>PASS→REJECT</x:v>
      </x:c>
    </x:row>
    <x:row r="78">
      <x:c r="A78" s="42" t="str">
        <x:v>APP2025000074</x:v>
      </x:c>
      <x:c r="B78" s="43" t="n">
        <x:f>VLOOKUP($A78,'01_申请数据'!$A$5:$L$204,3,FALSE)</x:f>
        <x:v>45722.691666666666</x:v>
      </x:c>
      <x:c r="C78" s="44" t="n">
        <x:f>VLOOKUP($A78,'01_申请数据'!$A$5:$L$204,5,FALSE)</x:f>
        <x:v>15000</x:v>
      </x:c>
      <x:c r="D78" s="45" t="n">
        <x:f>VLOOKUP($A78,'01_申请数据'!$A$5:$L$204,6,FALSE)</x:f>
        <x:v>6</x:v>
      </x:c>
      <x:c r="E78" s="44" t="n">
        <x:f>VLOOKUP($A78,'01_申请数据'!$A$5:$L$204,10,FALSE)</x:f>
        <x:v>29400</x:v>
      </x:c>
      <x:c r="F78" s="45" t="n">
        <x:f>VLOOKUP($A78,'02_征信特征'!$A$5:$J$204,3,FALSE)</x:f>
        <x:v>644</x:v>
      </x:c>
      <x:c r="G78" s="46" t="n">
        <x:f>VLOOKUP($A78,'02_征信特征'!$A$5:$J$204,4,FALSE)</x:f>
        <x:v>0.701</x:v>
      </x:c>
      <x:c r="H78" s="45" t="n">
        <x:f>VLOOKUP($A78,'02_征信特征'!$A$5:$J$204,5,FALSE)</x:f>
        <x:v>2</x:v>
      </x:c>
      <x:c r="I78" s="45" t="n">
        <x:f>VLOOKUP($A78,'02_征信特征'!$A$5:$J$204,6,FALSE)</x:f>
        <x:v>0</x:v>
      </x:c>
      <x:c r="J78" s="45" t="n">
        <x:f>VLOOKUP($A78,'02_征信特征'!$A$5:$J$204,7,FALSE)</x:f>
        <x:v>0</x:v>
      </x:c>
      <x:c r="K78" s="45" t="n">
        <x:f>VLOOKUP($A78,'02_征信特征'!$A$5:$J$204,8,FALSE)</x:f>
        <x:v>10</x:v>
      </x:c>
      <x:c r="L78" s="42" t="str">
        <x:f>VLOOKUP($A78,'02_征信特征'!$A$5:$J$204,9,FALSE)</x:f>
        <x:v>N</x:v>
      </x:c>
      <x:c r="M78" s="42" t="str">
        <x:f>VLOOKUP($A78,'03_决策日志'!$A$5:$G$204,4,FALSE)</x:f>
        <x:v>PASS</x:v>
      </x:c>
      <x:c r="N78" s="42" t="str">
        <x:f>IFERROR(VLOOKUP($A78,'04_人工审核'!$A$5:$H$57,6,FALSE),"NOT_REQUIRED")</x:f>
        <x:v>NOT_REQUIRED</x:v>
      </x:c>
      <x:c r="O78" s="42" t="str">
        <x:f>IFERROR(VLOOKUP($A78,'05_贷后表现'!$A$5:$J$137,2,FALSE),"N")</x:f>
        <x:v>Y</x:v>
      </x:c>
      <x:c r="P78" s="42" t="str">
        <x:f>IFERROR(VLOOKUP($A78,'05_贷后表现'!$A$5:$J$137,6,FALSE),"")</x:f>
        <x:v>N</x:v>
      </x:c>
      <x:c r="Q78" s="42" t="str">
        <x:f>IFERROR(VLOOKUP($A78,'05_贷后表现'!$A$5:$J$137,7,FALSE),"")</x:f>
        <x:v>N</x:v>
      </x:c>
      <x:c r="R78" s="45" t="n">
        <x:f>IFERROR(VLOOKUP($A78,'05_贷后表现'!$A$5:$J$137,8,FALSE),"")</x:f>
        <x:v>8</x:v>
      </x:c>
      <x:c r="S78" s="35" t="str">
        <x:f>IF(F78&lt;500,"REJECT",IF(OR(I78&gt;=2,J78&gt;60),"REJECT",IF(F78&lt;560,"REVIEW",IF(G78="","REVIEW",IF(AND(L78&lt;&gt;"Y",G78&gt;0.7),"REVIEW","PASS")))))</x:f>
        <x:v>REVIEW</x:v>
      </x:c>
      <x:c r="T78" s="35" t="str">
        <x:f>M78&amp;"→"&amp;S78</x:f>
        <x:v>PASS→REVIEW</x:v>
      </x:c>
    </x:row>
    <x:row r="79">
      <x:c r="A79" s="42" t="str">
        <x:v>APP2025000075</x:v>
      </x:c>
      <x:c r="B79" s="43" t="n">
        <x:f>VLOOKUP($A79,'01_申请数据'!$A$5:$L$204,3,FALSE)</x:f>
        <x:v>45664.58611111111</x:v>
      </x:c>
      <x:c r="C79" s="44" t="n">
        <x:f>VLOOKUP($A79,'01_申请数据'!$A$5:$L$204,5,FALSE)</x:f>
        <x:v>62000</x:v>
      </x:c>
      <x:c r="D79" s="45" t="n">
        <x:f>VLOOKUP($A79,'01_申请数据'!$A$5:$L$204,6,FALSE)</x:f>
        <x:v>36</x:v>
      </x:c>
      <x:c r="E79" s="44" t="n">
        <x:f>VLOOKUP($A79,'01_申请数据'!$A$5:$L$204,10,FALSE)</x:f>
        <x:v>22500</x:v>
      </x:c>
      <x:c r="F79" s="45" t="n">
        <x:f>VLOOKUP($A79,'02_征信特征'!$A$5:$J$204,3,FALSE)</x:f>
        <x:v>657</x:v>
      </x:c>
      <x:c r="G79" s="46" t="n">
        <x:f>VLOOKUP($A79,'02_征信特征'!$A$5:$J$204,4,FALSE)</x:f>
        <x:v>0.227</x:v>
      </x:c>
      <x:c r="H79" s="45" t="n">
        <x:f>VLOOKUP($A79,'02_征信特征'!$A$5:$J$204,5,FALSE)</x:f>
        <x:v>0</x:v>
      </x:c>
      <x:c r="I79" s="45" t="n">
        <x:f>VLOOKUP($A79,'02_征信特征'!$A$5:$J$204,6,FALSE)</x:f>
        <x:v>0</x:v>
      </x:c>
      <x:c r="J79" s="45" t="n">
        <x:f>VLOOKUP($A79,'02_征信特征'!$A$5:$J$204,7,FALSE)</x:f>
        <x:v>0</x:v>
      </x:c>
      <x:c r="K79" s="45" t="n">
        <x:f>VLOOKUP($A79,'02_征信特征'!$A$5:$J$204,8,FALSE)</x:f>
        <x:v>0</x:v>
      </x:c>
      <x:c r="L79" s="42" t="str">
        <x:f>VLOOKUP($A79,'02_征信特征'!$A$5:$J$204,9,FALSE)</x:f>
        <x:v>N</x:v>
      </x:c>
      <x:c r="M79" s="42" t="str">
        <x:f>VLOOKUP($A79,'03_决策日志'!$A$5:$G$204,4,FALSE)</x:f>
        <x:v>PASS</x:v>
      </x:c>
      <x:c r="N79" s="42" t="str">
        <x:f>IFERROR(VLOOKUP($A79,'04_人工审核'!$A$5:$H$57,6,FALSE),"NOT_REQUIRED")</x:f>
        <x:v>NOT_REQUIRED</x:v>
      </x:c>
      <x:c r="O79" s="42" t="str">
        <x:f>IFERROR(VLOOKUP($A79,'05_贷后表现'!$A$5:$J$137,2,FALSE),"N")</x:f>
        <x:v>Y</x:v>
      </x:c>
      <x:c r="P79" s="42" t="str">
        <x:f>IFERROR(VLOOKUP($A79,'05_贷后表现'!$A$5:$J$137,6,FALSE),"")</x:f>
        <x:v>N</x:v>
      </x:c>
      <x:c r="Q79" s="42" t="str">
        <x:f>IFERROR(VLOOKUP($A79,'05_贷后表现'!$A$5:$J$137,7,FALSE),"")</x:f>
        <x:v>N</x:v>
      </x:c>
      <x:c r="R79" s="45" t="n">
        <x:f>IFERROR(VLOOKUP($A79,'05_贷后表现'!$A$5:$J$137,8,FALSE),"")</x:f>
        <x:v>6</x:v>
      </x:c>
      <x:c r="S79" s="35" t="str">
        <x:f>IF(F79&lt;500,"REJECT",IF(OR(I79&gt;=2,J79&gt;60),"REJECT",IF(F79&lt;560,"REVIEW",IF(G79="","REVIEW",IF(AND(L79&lt;&gt;"Y",G79&gt;0.7),"REVIEW","PASS")))))</x:f>
        <x:v>PASS</x:v>
      </x:c>
      <x:c r="T79" s="35" t="str">
        <x:f>M79&amp;"→"&amp;S79</x:f>
        <x:v>PASS→PASS</x:v>
      </x:c>
    </x:row>
    <x:row r="80">
      <x:c r="A80" s="42" t="str">
        <x:v>APP2025000076</x:v>
      </x:c>
      <x:c r="B80" s="43" t="n">
        <x:f>VLOOKUP($A80,'01_申请数据'!$A$5:$L$204,3,FALSE)</x:f>
        <x:v>45765.663194444445</x:v>
      </x:c>
      <x:c r="C80" s="44" t="n">
        <x:f>VLOOKUP($A80,'01_申请数据'!$A$5:$L$204,5,FALSE)</x:f>
        <x:v>35000</x:v>
      </x:c>
      <x:c r="D80" s="45" t="n">
        <x:f>VLOOKUP($A80,'01_申请数据'!$A$5:$L$204,6,FALSE)</x:f>
        <x:v>12</x:v>
      </x:c>
      <x:c r="E80" s="44" t="n">
        <x:f>VLOOKUP($A80,'01_申请数据'!$A$5:$L$204,10,FALSE)</x:f>
        <x:v>14700</x:v>
      </x:c>
      <x:c r="F80" s="45" t="n">
        <x:f>VLOOKUP($A80,'02_征信特征'!$A$5:$J$204,3,FALSE)</x:f>
        <x:v>602</x:v>
      </x:c>
      <x:c r="G80" s="46" t="n">
        <x:f>VLOOKUP($A80,'02_征信特征'!$A$5:$J$204,4,FALSE)</x:f>
        <x:v>0.839</x:v>
      </x:c>
      <x:c r="H80" s="45" t="n">
        <x:f>VLOOKUP($A80,'02_征信特征'!$A$5:$J$204,5,FALSE)</x:f>
        <x:v>3</x:v>
      </x:c>
      <x:c r="I80" s="45" t="n">
        <x:f>VLOOKUP($A80,'02_征信特征'!$A$5:$J$204,6,FALSE)</x:f>
        <x:v>1</x:v>
      </x:c>
      <x:c r="J80" s="45" t="n">
        <x:f>VLOOKUP($A80,'02_征信特征'!$A$5:$J$204,7,FALSE)</x:f>
        <x:v>33</x:v>
      </x:c>
      <x:c r="K80" s="45" t="n">
        <x:f>VLOOKUP($A80,'02_征信特征'!$A$5:$J$204,8,FALSE)</x:f>
        <x:v>9</x:v>
      </x:c>
      <x:c r="L80" s="42" t="str">
        <x:f>VLOOKUP($A80,'02_征信特征'!$A$5:$J$204,9,FALSE)</x:f>
        <x:v>N</x:v>
      </x:c>
      <x:c r="M80" s="42" t="str">
        <x:f>VLOOKUP($A80,'03_决策日志'!$A$5:$G$204,4,FALSE)</x:f>
        <x:v>REVIEW</x:v>
      </x:c>
      <x:c r="N80" s="42" t="str">
        <x:f>IFERROR(VLOOKUP($A80,'04_人工审核'!$A$5:$H$57,6,FALSE),"NOT_REQUIRED")</x:f>
        <x:v>APPROVE</x:v>
      </x:c>
      <x:c r="O80" s="42" t="str">
        <x:f>IFERROR(VLOOKUP($A80,'05_贷后表现'!$A$5:$J$137,2,FALSE),"N")</x:f>
        <x:v>Y</x:v>
      </x:c>
      <x:c r="P80" s="42" t="str">
        <x:f>IFERROR(VLOOKUP($A80,'05_贷后表现'!$A$5:$J$137,6,FALSE),"")</x:f>
        <x:v>Y</x:v>
      </x:c>
      <x:c r="Q80" s="42" t="str">
        <x:f>IFERROR(VLOOKUP($A80,'05_贷后表现'!$A$5:$J$137,7,FALSE),"")</x:f>
        <x:v>N</x:v>
      </x:c>
      <x:c r="R80" s="45" t="n">
        <x:f>IFERROR(VLOOKUP($A80,'05_贷后表现'!$A$5:$J$137,8,FALSE),"")</x:f>
        <x:v>6</x:v>
      </x:c>
      <x:c r="S80" s="35" t="str">
        <x:f>IF(F80&lt;500,"REJECT",IF(OR(I80&gt;=2,J80&gt;60),"REJECT",IF(F80&lt;560,"REVIEW",IF(G80="","REVIEW",IF(AND(L80&lt;&gt;"Y",G80&gt;0.7),"REVIEW","PASS")))))</x:f>
        <x:v>REVIEW</x:v>
      </x:c>
      <x:c r="T80" s="35" t="str">
        <x:f>M80&amp;"→"&amp;S80</x:f>
        <x:v>REVIEW→REVIEW</x:v>
      </x:c>
    </x:row>
    <x:row r="81">
      <x:c r="A81" s="42" t="str">
        <x:v>APP2025000077</x:v>
      </x:c>
      <x:c r="B81" s="43" t="n">
        <x:f>VLOOKUP($A81,'01_申请数据'!$A$5:$L$204,3,FALSE)</x:f>
        <x:v>45828.36875</x:v>
      </x:c>
      <x:c r="C81" s="44" t="n">
        <x:f>VLOOKUP($A81,'01_申请数据'!$A$5:$L$204,5,FALSE)</x:f>
        <x:v>80000</x:v>
      </x:c>
      <x:c r="D81" s="45" t="n">
        <x:f>VLOOKUP($A81,'01_申请数据'!$A$5:$L$204,6,FALSE)</x:f>
        <x:v>12</x:v>
      </x:c>
      <x:c r="E81" s="44" t="n">
        <x:f>VLOOKUP($A81,'01_申请数据'!$A$5:$L$204,10,FALSE)</x:f>
        <x:v>27100</x:v>
      </x:c>
      <x:c r="F81" s="45" t="n">
        <x:f>VLOOKUP($A81,'02_征信特征'!$A$5:$J$204,3,FALSE)</x:f>
        <x:v>631</x:v>
      </x:c>
      <x:c r="G81" s="46" t="n">
        <x:f>VLOOKUP($A81,'02_征信特征'!$A$5:$J$204,4,FALSE)</x:f>
        <x:v>0.495</x:v>
      </x:c>
      <x:c r="H81" s="45" t="n">
        <x:f>VLOOKUP($A81,'02_征信特征'!$A$5:$J$204,5,FALSE)</x:f>
        <x:v>4</x:v>
      </x:c>
      <x:c r="I81" s="45" t="n">
        <x:f>VLOOKUP($A81,'02_征信特征'!$A$5:$J$204,6,FALSE)</x:f>
        <x:v>0</x:v>
      </x:c>
      <x:c r="J81" s="45" t="n">
        <x:f>VLOOKUP($A81,'02_征信特征'!$A$5:$J$204,7,FALSE)</x:f>
        <x:v>0</x:v>
      </x:c>
      <x:c r="K81" s="45" t="n">
        <x:f>VLOOKUP($A81,'02_征信特征'!$A$5:$J$204,8,FALSE)</x:f>
        <x:v>2</x:v>
      </x:c>
      <x:c r="L81" s="42" t="str">
        <x:f>VLOOKUP($A81,'02_征信特征'!$A$5:$J$204,9,FALSE)</x:f>
        <x:v>N</x:v>
      </x:c>
      <x:c r="M81" s="42" t="str">
        <x:f>VLOOKUP($A81,'03_决策日志'!$A$5:$G$204,4,FALSE)</x:f>
        <x:v>PASS</x:v>
      </x:c>
      <x:c r="N81" s="42" t="str">
        <x:f>IFERROR(VLOOKUP($A81,'04_人工审核'!$A$5:$H$57,6,FALSE),"NOT_REQUIRED")</x:f>
        <x:v>NOT_REQUIRED</x:v>
      </x:c>
      <x:c r="O81" s="42" t="str">
        <x:f>IFERROR(VLOOKUP($A81,'05_贷后表现'!$A$5:$J$137,2,FALSE),"N")</x:f>
        <x:v>N</x:v>
      </x:c>
      <x:c r="P81" s="42" t="str">
        <x:f>IFERROR(VLOOKUP($A81,'05_贷后表现'!$A$5:$J$137,6,FALSE),"")</x:f>
      </x:c>
      <x:c r="Q81" s="42" t="str">
        <x:f>IFERROR(VLOOKUP($A81,'05_贷后表现'!$A$5:$J$137,7,FALSE),"")</x:f>
      </x:c>
      <x:c r="R81" s="45" t="str">
        <x:f>IFERROR(VLOOKUP($A81,'05_贷后表现'!$A$5:$J$137,8,FALSE),"")</x:f>
      </x:c>
      <x:c r="S81" s="35" t="str">
        <x:f>IF(F81&lt;500,"REJECT",IF(OR(I81&gt;=2,J81&gt;60),"REJECT",IF(F81&lt;560,"REVIEW",IF(G81="","REVIEW",IF(AND(L81&lt;&gt;"Y",G81&gt;0.7),"REVIEW","PASS")))))</x:f>
        <x:v>PASS</x:v>
      </x:c>
      <x:c r="T81" s="35" t="str">
        <x:f>M81&amp;"→"&amp;S81</x:f>
        <x:v>PASS→PASS</x:v>
      </x:c>
    </x:row>
    <x:row r="82">
      <x:c r="A82" s="42" t="str">
        <x:v>APP2025000078</x:v>
      </x:c>
      <x:c r="B82" s="43" t="n">
        <x:f>VLOOKUP($A82,'01_申请数据'!$A$5:$L$204,3,FALSE)</x:f>
        <x:v>45704.43263888889</x:v>
      </x:c>
      <x:c r="C82" s="44" t="n">
        <x:f>VLOOKUP($A82,'01_申请数据'!$A$5:$L$204,5,FALSE)</x:f>
        <x:v>34000</x:v>
      </x:c>
      <x:c r="D82" s="45" t="n">
        <x:f>VLOOKUP($A82,'01_申请数据'!$A$5:$L$204,6,FALSE)</x:f>
        <x:v>24</x:v>
      </x:c>
      <x:c r="E82" s="44" t="n">
        <x:f>VLOOKUP($A82,'01_申请数据'!$A$5:$L$204,10,FALSE)</x:f>
        <x:v>11400</x:v>
      </x:c>
      <x:c r="F82" s="45" t="n">
        <x:f>VLOOKUP($A82,'02_征信特征'!$A$5:$J$204,3,FALSE)</x:f>
        <x:v>650</x:v>
      </x:c>
      <x:c r="G82" s="46" t="n">
        <x:f>VLOOKUP($A82,'02_征信特征'!$A$5:$J$204,4,FALSE)</x:f>
        <x:v>0.862</x:v>
      </x:c>
      <x:c r="H82" s="45" t="n">
        <x:f>VLOOKUP($A82,'02_征信特征'!$A$5:$J$204,5,FALSE)</x:f>
        <x:v>0</x:v>
      </x:c>
      <x:c r="I82" s="45" t="n">
        <x:f>VLOOKUP($A82,'02_征信特征'!$A$5:$J$204,6,FALSE)</x:f>
        <x:v>1</x:v>
      </x:c>
      <x:c r="J82" s="45" t="n">
        <x:f>VLOOKUP($A82,'02_征信特征'!$A$5:$J$204,7,FALSE)</x:f>
        <x:v>36</x:v>
      </x:c>
      <x:c r="K82" s="45" t="n">
        <x:f>VLOOKUP($A82,'02_征信特征'!$A$5:$J$204,8,FALSE)</x:f>
        <x:v>8</x:v>
      </x:c>
      <x:c r="L82" s="42" t="str">
        <x:f>VLOOKUP($A82,'02_征信特征'!$A$5:$J$204,9,FALSE)</x:f>
        <x:v>N</x:v>
      </x:c>
      <x:c r="M82" s="42" t="str">
        <x:f>VLOOKUP($A82,'03_决策日志'!$A$5:$G$204,4,FALSE)</x:f>
        <x:v>REVIEW</x:v>
      </x:c>
      <x:c r="N82" s="42" t="str">
        <x:f>IFERROR(VLOOKUP($A82,'04_人工审核'!$A$5:$H$57,6,FALSE),"NOT_REQUIRED")</x:f>
        <x:v>APPROVE</x:v>
      </x:c>
      <x:c r="O82" s="42" t="str">
        <x:f>IFERROR(VLOOKUP($A82,'05_贷后表现'!$A$5:$J$137,2,FALSE),"N")</x:f>
        <x:v>Y</x:v>
      </x:c>
      <x:c r="P82" s="42" t="str">
        <x:f>IFERROR(VLOOKUP($A82,'05_贷后表现'!$A$5:$J$137,6,FALSE),"")</x:f>
        <x:v>N</x:v>
      </x:c>
      <x:c r="Q82" s="42" t="str">
        <x:f>IFERROR(VLOOKUP($A82,'05_贷后表现'!$A$5:$J$137,7,FALSE),"")</x:f>
        <x:v>N</x:v>
      </x:c>
      <x:c r="R82" s="45" t="n">
        <x:f>IFERROR(VLOOKUP($A82,'05_贷后表现'!$A$5:$J$137,8,FALSE),"")</x:f>
        <x:v>9</x:v>
      </x:c>
      <x:c r="S82" s="35" t="str">
        <x:f>IF(F82&lt;500,"REJECT",IF(OR(I82&gt;=2,J82&gt;60),"REJECT",IF(F82&lt;560,"REVIEW",IF(G82="","REVIEW",IF(AND(L82&lt;&gt;"Y",G82&gt;0.7),"REVIEW","PASS")))))</x:f>
        <x:v>REVIEW</x:v>
      </x:c>
      <x:c r="T82" s="35" t="str">
        <x:f>M82&amp;"→"&amp;S82</x:f>
        <x:v>REVIEW→REVIEW</x:v>
      </x:c>
    </x:row>
    <x:row r="83">
      <x:c r="A83" s="42" t="str">
        <x:v>APP2025000079</x:v>
      </x:c>
      <x:c r="B83" s="43" t="n">
        <x:f>VLOOKUP($A83,'01_申请数据'!$A$5:$L$204,3,FALSE)</x:f>
        <x:v>45770.37569444445</x:v>
      </x:c>
      <x:c r="C83" s="44" t="n">
        <x:f>VLOOKUP($A83,'01_申请数据'!$A$5:$L$204,5,FALSE)</x:f>
        <x:v>94000</x:v>
      </x:c>
      <x:c r="D83" s="45" t="n">
        <x:f>VLOOKUP($A83,'01_申请数据'!$A$5:$L$204,6,FALSE)</x:f>
        <x:v>12</x:v>
      </x:c>
      <x:c r="E83" s="44" t="n">
        <x:f>VLOOKUP($A83,'01_申请数据'!$A$5:$L$204,10,FALSE)</x:f>
        <x:v>22700</x:v>
      </x:c>
      <x:c r="F83" s="45" t="n">
        <x:f>VLOOKUP($A83,'02_征信特征'!$A$5:$J$204,3,FALSE)</x:f>
        <x:v>614</x:v>
      </x:c>
      <x:c r="G83" s="46" t="n">
        <x:f>VLOOKUP($A83,'02_征信特征'!$A$5:$J$204,4,FALSE)</x:f>
        <x:v>0.913</x:v>
      </x:c>
      <x:c r="H83" s="45" t="n">
        <x:f>VLOOKUP($A83,'02_征信特征'!$A$5:$J$204,5,FALSE)</x:f>
        <x:v>3</x:v>
      </x:c>
      <x:c r="I83" s="45" t="n">
        <x:f>VLOOKUP($A83,'02_征信特征'!$A$5:$J$204,6,FALSE)</x:f>
        <x:v>0</x:v>
      </x:c>
      <x:c r="J83" s="45" t="n">
        <x:f>VLOOKUP($A83,'02_征信特征'!$A$5:$J$204,7,FALSE)</x:f>
        <x:v>0</x:v>
      </x:c>
      <x:c r="K83" s="45" t="n">
        <x:f>VLOOKUP($A83,'02_征信特征'!$A$5:$J$204,8,FALSE)</x:f>
        <x:v>2</x:v>
      </x:c>
      <x:c r="L83" s="42" t="str">
        <x:f>VLOOKUP($A83,'02_征信特征'!$A$5:$J$204,9,FALSE)</x:f>
        <x:v>N</x:v>
      </x:c>
      <x:c r="M83" s="42" t="str">
        <x:f>VLOOKUP($A83,'03_决策日志'!$A$5:$G$204,4,FALSE)</x:f>
        <x:v>REVIEW</x:v>
      </x:c>
      <x:c r="N83" s="42" t="str">
        <x:f>IFERROR(VLOOKUP($A83,'04_人工审核'!$A$5:$H$57,6,FALSE),"NOT_REQUIRED")</x:f>
        <x:v>APPROVE</x:v>
      </x:c>
      <x:c r="O83" s="42" t="str">
        <x:f>IFERROR(VLOOKUP($A83,'05_贷后表现'!$A$5:$J$137,2,FALSE),"N")</x:f>
        <x:v>N</x:v>
      </x:c>
      <x:c r="P83" s="42" t="str">
        <x:f>IFERROR(VLOOKUP($A83,'05_贷后表现'!$A$5:$J$137,6,FALSE),"")</x:f>
      </x:c>
      <x:c r="Q83" s="42" t="str">
        <x:f>IFERROR(VLOOKUP($A83,'05_贷后表现'!$A$5:$J$137,7,FALSE),"")</x:f>
      </x:c>
      <x:c r="R83" s="45" t="str">
        <x:f>IFERROR(VLOOKUP($A83,'05_贷后表现'!$A$5:$J$137,8,FALSE),"")</x:f>
      </x:c>
      <x:c r="S83" s="35" t="str">
        <x:f>IF(F83&lt;500,"REJECT",IF(OR(I83&gt;=2,J83&gt;60),"REJECT",IF(F83&lt;560,"REVIEW",IF(G83="","REVIEW",IF(AND(L83&lt;&gt;"Y",G83&gt;0.7),"REVIEW","PASS")))))</x:f>
        <x:v>REVIEW</x:v>
      </x:c>
      <x:c r="T83" s="35" t="str">
        <x:f>M83&amp;"→"&amp;S83</x:f>
        <x:v>REVIEW→REVIEW</x:v>
      </x:c>
    </x:row>
    <x:row r="84">
      <x:c r="A84" s="42" t="str">
        <x:v>APP2025000080</x:v>
      </x:c>
      <x:c r="B84" s="43" t="n">
        <x:f>VLOOKUP($A84,'01_申请数据'!$A$5:$L$204,3,FALSE)</x:f>
        <x:v>45797.61944444444</x:v>
      </x:c>
      <x:c r="C84" s="44" t="n">
        <x:f>VLOOKUP($A84,'01_申请数据'!$A$5:$L$204,5,FALSE)</x:f>
        <x:v>43000</x:v>
      </x:c>
      <x:c r="D84" s="45" t="n">
        <x:f>VLOOKUP($A84,'01_申请数据'!$A$5:$L$204,6,FALSE)</x:f>
        <x:v>36</x:v>
      </x:c>
      <x:c r="E84" s="44" t="n">
        <x:f>VLOOKUP($A84,'01_申请数据'!$A$5:$L$204,10,FALSE)</x:f>
        <x:v>14400</x:v>
      </x:c>
      <x:c r="F84" s="45" t="n">
        <x:f>VLOOKUP($A84,'02_征信特征'!$A$5:$J$204,3,FALSE)</x:f>
        <x:v>430</x:v>
      </x:c>
      <x:c r="G84" s="46" t="n">
        <x:f>VLOOKUP($A84,'02_征信特征'!$A$5:$J$204,4,FALSE)</x:f>
        <x:v>0.952</x:v>
      </x:c>
      <x:c r="H84" s="45" t="n">
        <x:f>VLOOKUP($A84,'02_征信特征'!$A$5:$J$204,5,FALSE)</x:f>
        <x:v>5</x:v>
      </x:c>
      <x:c r="I84" s="45" t="n">
        <x:f>VLOOKUP($A84,'02_征信特征'!$A$5:$J$204,6,FALSE)</x:f>
        <x:v>5</x:v>
      </x:c>
      <x:c r="J84" s="45" t="n">
        <x:f>VLOOKUP($A84,'02_征信特征'!$A$5:$J$204,7,FALSE)</x:f>
        <x:v>63</x:v>
      </x:c>
      <x:c r="K84" s="45" t="n">
        <x:f>VLOOKUP($A84,'02_征信特征'!$A$5:$J$204,8,FALSE)</x:f>
        <x:v>8</x:v>
      </x:c>
      <x:c r="L84" s="42" t="str">
        <x:f>VLOOKUP($A84,'02_征信特征'!$A$5:$J$204,9,FALSE)</x:f>
        <x:v>N</x:v>
      </x:c>
      <x:c r="M84" s="42" t="str">
        <x:f>VLOOKUP($A84,'03_决策日志'!$A$5:$G$204,4,FALSE)</x:f>
        <x:v>REJECT</x:v>
      </x:c>
      <x:c r="N84" s="42" t="str">
        <x:f>IFERROR(VLOOKUP($A84,'04_人工审核'!$A$5:$H$57,6,FALSE),"NOT_REQUIRED")</x:f>
        <x:v>NOT_REQUIRED</x:v>
      </x:c>
      <x:c r="O84" s="42" t="str">
        <x:f>IFERROR(VLOOKUP($A84,'05_贷后表现'!$A$5:$J$137,2,FALSE),"N")</x:f>
        <x:v>N</x:v>
      </x:c>
      <x:c r="P84" s="42" t="str">
        <x:f>IFERROR(VLOOKUP($A84,'05_贷后表现'!$A$5:$J$137,6,FALSE),"")</x:f>
      </x:c>
      <x:c r="Q84" s="42" t="str">
        <x:f>IFERROR(VLOOKUP($A84,'05_贷后表现'!$A$5:$J$137,7,FALSE),"")</x:f>
      </x:c>
      <x:c r="R84" s="45" t="str">
        <x:f>IFERROR(VLOOKUP($A84,'05_贷后表现'!$A$5:$J$137,8,FALSE),"")</x:f>
      </x:c>
      <x:c r="S84" s="35" t="str">
        <x:f>IF(F84&lt;500,"REJECT",IF(OR(I84&gt;=2,J84&gt;60),"REJECT",IF(F84&lt;560,"REVIEW",IF(G84="","REVIEW",IF(AND(L84&lt;&gt;"Y",G84&gt;0.7),"REVIEW","PASS")))))</x:f>
        <x:v>REJECT</x:v>
      </x:c>
      <x:c r="T84" s="35" t="str">
        <x:f>M84&amp;"→"&amp;S84</x:f>
        <x:v>REJECT→REJECT</x:v>
      </x:c>
    </x:row>
    <x:row r="85">
      <x:c r="A85" s="42" t="str">
        <x:v>APP2025000081</x:v>
      </x:c>
      <x:c r="B85" s="43" t="n">
        <x:f>VLOOKUP($A85,'01_申请数据'!$A$5:$L$204,3,FALSE)</x:f>
        <x:v>45814.50069444445</x:v>
      </x:c>
      <x:c r="C85" s="44" t="n">
        <x:f>VLOOKUP($A85,'01_申请数据'!$A$5:$L$204,5,FALSE)</x:f>
        <x:v>82000</x:v>
      </x:c>
      <x:c r="D85" s="45" t="n">
        <x:f>VLOOKUP($A85,'01_申请数据'!$A$5:$L$204,6,FALSE)</x:f>
        <x:v>12</x:v>
      </x:c>
      <x:c r="E85" s="44" t="n">
        <x:f>VLOOKUP($A85,'01_申请数据'!$A$5:$L$204,10,FALSE)</x:f>
        <x:v>29200</x:v>
      </x:c>
      <x:c r="F85" s="45" t="n">
        <x:f>VLOOKUP($A85,'02_征信特征'!$A$5:$J$204,3,FALSE)</x:f>
        <x:v>606</x:v>
      </x:c>
      <x:c r="G85" s="46" t="n">
        <x:f>VLOOKUP($A85,'02_征信特征'!$A$5:$J$204,4,FALSE)</x:f>
        <x:v>0.981</x:v>
      </x:c>
      <x:c r="H85" s="45" t="n">
        <x:f>VLOOKUP($A85,'02_征信特征'!$A$5:$J$204,5,FALSE)</x:f>
        <x:v>0</x:v>
      </x:c>
      <x:c r="I85" s="45" t="n">
        <x:f>VLOOKUP($A85,'02_征信特征'!$A$5:$J$204,6,FALSE)</x:f>
        <x:v>0</x:v>
      </x:c>
      <x:c r="J85" s="45" t="n">
        <x:f>VLOOKUP($A85,'02_征信特征'!$A$5:$J$204,7,FALSE)</x:f>
        <x:v>0</x:v>
      </x:c>
      <x:c r="K85" s="45" t="n">
        <x:f>VLOOKUP($A85,'02_征信特征'!$A$5:$J$204,8,FALSE)</x:f>
        <x:v>10</x:v>
      </x:c>
      <x:c r="L85" s="42" t="str">
        <x:f>VLOOKUP($A85,'02_征信特征'!$A$5:$J$204,9,FALSE)</x:f>
        <x:v>N</x:v>
      </x:c>
      <x:c r="M85" s="42" t="str">
        <x:f>VLOOKUP($A85,'03_决策日志'!$A$5:$G$204,4,FALSE)</x:f>
        <x:v>REVIEW</x:v>
      </x:c>
      <x:c r="N85" s="42" t="str">
        <x:f>IFERROR(VLOOKUP($A85,'04_人工审核'!$A$5:$H$57,6,FALSE),"NOT_REQUIRED")</x:f>
        <x:v>APPROVE</x:v>
      </x:c>
      <x:c r="O85" s="42" t="str">
        <x:f>IFERROR(VLOOKUP($A85,'05_贷后表现'!$A$5:$J$137,2,FALSE),"N")</x:f>
        <x:v>N</x:v>
      </x:c>
      <x:c r="P85" s="42" t="str">
        <x:f>IFERROR(VLOOKUP($A85,'05_贷后表现'!$A$5:$J$137,6,FALSE),"")</x:f>
      </x:c>
      <x:c r="Q85" s="42" t="str">
        <x:f>IFERROR(VLOOKUP($A85,'05_贷后表现'!$A$5:$J$137,7,FALSE),"")</x:f>
      </x:c>
      <x:c r="R85" s="45" t="str">
        <x:f>IFERROR(VLOOKUP($A85,'05_贷后表现'!$A$5:$J$137,8,FALSE),"")</x:f>
      </x:c>
      <x:c r="S85" s="35" t="str">
        <x:f>IF(F85&lt;500,"REJECT",IF(OR(I85&gt;=2,J85&gt;60),"REJECT",IF(F85&lt;560,"REVIEW",IF(G85="","REVIEW",IF(AND(L85&lt;&gt;"Y",G85&gt;0.7),"REVIEW","PASS")))))</x:f>
        <x:v>REVIEW</x:v>
      </x:c>
      <x:c r="T85" s="35" t="str">
        <x:f>M85&amp;"→"&amp;S85</x:f>
        <x:v>REVIEW→REVIEW</x:v>
      </x:c>
    </x:row>
    <x:row r="86">
      <x:c r="A86" s="42" t="str">
        <x:v>APP2025000082</x:v>
      </x:c>
      <x:c r="B86" s="43" t="n">
        <x:f>VLOOKUP($A86,'01_申请数据'!$A$5:$L$204,3,FALSE)</x:f>
        <x:v>45788.53958333333</x:v>
      </x:c>
      <x:c r="C86" s="44" t="n">
        <x:f>VLOOKUP($A86,'01_申请数据'!$A$5:$L$204,5,FALSE)</x:f>
        <x:v>75000</x:v>
      </x:c>
      <x:c r="D86" s="45" t="n">
        <x:f>VLOOKUP($A86,'01_申请数据'!$A$5:$L$204,6,FALSE)</x:f>
        <x:v>24</x:v>
      </x:c>
      <x:c r="E86" s="44" t="n">
        <x:f>VLOOKUP($A86,'01_申请数据'!$A$5:$L$204,10,FALSE)</x:f>
        <x:v>10200</x:v>
      </x:c>
      <x:c r="F86" s="45" t="n">
        <x:f>VLOOKUP($A86,'02_征信特征'!$A$5:$J$204,3,FALSE)</x:f>
        <x:v>711</x:v>
      </x:c>
      <x:c r="G86" s="46" t="n">
        <x:f>VLOOKUP($A86,'02_征信特征'!$A$5:$J$204,4,FALSE)</x:f>
        <x:v>0.217</x:v>
      </x:c>
      <x:c r="H86" s="45" t="n">
        <x:f>VLOOKUP($A86,'02_征信特征'!$A$5:$J$204,5,FALSE)</x:f>
        <x:v>5</x:v>
      </x:c>
      <x:c r="I86" s="45" t="n">
        <x:f>VLOOKUP($A86,'02_征信特征'!$A$5:$J$204,6,FALSE)</x:f>
        <x:v>0</x:v>
      </x:c>
      <x:c r="J86" s="45" t="n">
        <x:f>VLOOKUP($A86,'02_征信特征'!$A$5:$J$204,7,FALSE)</x:f>
        <x:v>0</x:v>
      </x:c>
      <x:c r="K86" s="45" t="n">
        <x:f>VLOOKUP($A86,'02_征信特征'!$A$5:$J$204,8,FALSE)</x:f>
        <x:v>8</x:v>
      </x:c>
      <x:c r="L86" s="42" t="str">
        <x:f>VLOOKUP($A86,'02_征信特征'!$A$5:$J$204,9,FALSE)</x:f>
        <x:v>N</x:v>
      </x:c>
      <x:c r="M86" s="42" t="str">
        <x:f>VLOOKUP($A86,'03_决策日志'!$A$5:$G$204,4,FALSE)</x:f>
        <x:v>PASS</x:v>
      </x:c>
      <x:c r="N86" s="42" t="str">
        <x:f>IFERROR(VLOOKUP($A86,'04_人工审核'!$A$5:$H$57,6,FALSE),"NOT_REQUIRED")</x:f>
        <x:v>NOT_REQUIRED</x:v>
      </x:c>
      <x:c r="O86" s="42" t="str">
        <x:f>IFERROR(VLOOKUP($A86,'05_贷后表现'!$A$5:$J$137,2,FALSE),"N")</x:f>
        <x:v>Y</x:v>
      </x:c>
      <x:c r="P86" s="42" t="str">
        <x:f>IFERROR(VLOOKUP($A86,'05_贷后表现'!$A$5:$J$137,6,FALSE),"")</x:f>
        <x:v>N</x:v>
      </x:c>
      <x:c r="Q86" s="42" t="str">
        <x:f>IFERROR(VLOOKUP($A86,'05_贷后表现'!$A$5:$J$137,7,FALSE),"")</x:f>
        <x:v>N</x:v>
      </x:c>
      <x:c r="R86" s="45" t="n">
        <x:f>IFERROR(VLOOKUP($A86,'05_贷后表现'!$A$5:$J$137,8,FALSE),"")</x:f>
        <x:v>11</x:v>
      </x:c>
      <x:c r="S86" s="35" t="str">
        <x:f>IF(F86&lt;500,"REJECT",IF(OR(I86&gt;=2,J86&gt;60),"REJECT",IF(F86&lt;560,"REVIEW",IF(G86="","REVIEW",IF(AND(L86&lt;&gt;"Y",G86&gt;0.7),"REVIEW","PASS")))))</x:f>
        <x:v>PASS</x:v>
      </x:c>
      <x:c r="T86" s="35" t="str">
        <x:f>M86&amp;"→"&amp;S86</x:f>
        <x:v>PASS→PASS</x:v>
      </x:c>
    </x:row>
    <x:row r="87">
      <x:c r="A87" s="42" t="str">
        <x:v>APP2025000083</x:v>
      </x:c>
      <x:c r="B87" s="43" t="n">
        <x:f>VLOOKUP($A87,'01_申请数据'!$A$5:$L$204,3,FALSE)</x:f>
        <x:v>45741.5</x:v>
      </x:c>
      <x:c r="C87" s="44" t="n">
        <x:f>VLOOKUP($A87,'01_申请数据'!$A$5:$L$204,5,FALSE)</x:f>
        <x:v>53000</x:v>
      </x:c>
      <x:c r="D87" s="45" t="n">
        <x:f>VLOOKUP($A87,'01_申请数据'!$A$5:$L$204,6,FALSE)</x:f>
        <x:v>36</x:v>
      </x:c>
      <x:c r="E87" s="44" t="n">
        <x:f>VLOOKUP($A87,'01_申请数据'!$A$5:$L$204,10,FALSE)</x:f>
        <x:v>4600</x:v>
      </x:c>
      <x:c r="F87" s="45" t="n">
        <x:f>VLOOKUP($A87,'02_征信特征'!$A$5:$J$204,3,FALSE)</x:f>
        <x:v>603</x:v>
      </x:c>
      <x:c r="G87" s="46" t="n">
        <x:f>VLOOKUP($A87,'02_征信特征'!$A$5:$J$204,4,FALSE)</x:f>
        <x:v>0.277</x:v>
      </x:c>
      <x:c r="H87" s="45" t="n">
        <x:f>VLOOKUP($A87,'02_征信特征'!$A$5:$J$204,5,FALSE)</x:f>
        <x:v>2</x:v>
      </x:c>
      <x:c r="I87" s="45" t="n">
        <x:f>VLOOKUP($A87,'02_征信特征'!$A$5:$J$204,6,FALSE)</x:f>
        <x:v>1</x:v>
      </x:c>
      <x:c r="J87" s="45" t="n">
        <x:f>VLOOKUP($A87,'02_征信特征'!$A$5:$J$204,7,FALSE)</x:f>
        <x:v>69</x:v>
      </x:c>
      <x:c r="K87" s="45" t="n">
        <x:f>VLOOKUP($A87,'02_征信特征'!$A$5:$J$204,8,FALSE)</x:f>
        <x:v>2</x:v>
      </x:c>
      <x:c r="L87" s="42" t="str">
        <x:f>VLOOKUP($A87,'02_征信特征'!$A$5:$J$204,9,FALSE)</x:f>
        <x:v>N</x:v>
      </x:c>
      <x:c r="M87" s="42" t="str">
        <x:f>VLOOKUP($A87,'03_决策日志'!$A$5:$G$204,4,FALSE)</x:f>
        <x:v>PASS</x:v>
      </x:c>
      <x:c r="N87" s="42" t="str">
        <x:f>IFERROR(VLOOKUP($A87,'04_人工审核'!$A$5:$H$57,6,FALSE),"NOT_REQUIRED")</x:f>
        <x:v>NOT_REQUIRED</x:v>
      </x:c>
      <x:c r="O87" s="42" t="str">
        <x:f>IFERROR(VLOOKUP($A87,'05_贷后表现'!$A$5:$J$137,2,FALSE),"N")</x:f>
        <x:v>Y</x:v>
      </x:c>
      <x:c r="P87" s="42" t="str">
        <x:f>IFERROR(VLOOKUP($A87,'05_贷后表现'!$A$5:$J$137,6,FALSE),"")</x:f>
        <x:v>N</x:v>
      </x:c>
      <x:c r="Q87" s="42" t="str">
        <x:f>IFERROR(VLOOKUP($A87,'05_贷后表现'!$A$5:$J$137,7,FALSE),"")</x:f>
        <x:v>N</x:v>
      </x:c>
      <x:c r="R87" s="45" t="n">
        <x:f>IFERROR(VLOOKUP($A87,'05_贷后表现'!$A$5:$J$137,8,FALSE),"")</x:f>
        <x:v>7</x:v>
      </x:c>
      <x:c r="S87" s="35" t="str">
        <x:f>IF(F87&lt;500,"REJECT",IF(OR(I87&gt;=2,J87&gt;60),"REJECT",IF(F87&lt;560,"REVIEW",IF(G87="","REVIEW",IF(AND(L87&lt;&gt;"Y",G87&gt;0.7),"REVIEW","PASS")))))</x:f>
        <x:v>REJECT</x:v>
      </x:c>
      <x:c r="T87" s="35" t="str">
        <x:f>M87&amp;"→"&amp;S87</x:f>
        <x:v>PASS→REJECT</x:v>
      </x:c>
    </x:row>
    <x:row r="88">
      <x:c r="A88" s="42" t="str">
        <x:v>APP2025000084</x:v>
      </x:c>
      <x:c r="B88" s="43" t="n">
        <x:f>VLOOKUP($A88,'01_申请数据'!$A$5:$L$204,3,FALSE)</x:f>
        <x:v>45779.5875</x:v>
      </x:c>
      <x:c r="C88" s="44" t="n">
        <x:f>VLOOKUP($A88,'01_申请数据'!$A$5:$L$204,5,FALSE)</x:f>
        <x:v>73000</x:v>
      </x:c>
      <x:c r="D88" s="45" t="n">
        <x:f>VLOOKUP($A88,'01_申请数据'!$A$5:$L$204,6,FALSE)</x:f>
        <x:v>36</x:v>
      </x:c>
      <x:c r="E88" s="44" t="n">
        <x:f>VLOOKUP($A88,'01_申请数据'!$A$5:$L$204,10,FALSE)</x:f>
        <x:v>12700</x:v>
      </x:c>
      <x:c r="F88" s="45" t="n">
        <x:f>VLOOKUP($A88,'02_征信特征'!$A$5:$J$204,3,FALSE)</x:f>
        <x:v>616</x:v>
      </x:c>
      <x:c r="G88" s="46" t="n">
        <x:f>VLOOKUP($A88,'02_征信特征'!$A$5:$J$204,4,FALSE)</x:f>
        <x:v>0.616</x:v>
      </x:c>
      <x:c r="H88" s="45" t="n">
        <x:f>VLOOKUP($A88,'02_征信特征'!$A$5:$J$204,5,FALSE)</x:f>
        <x:v>3</x:v>
      </x:c>
      <x:c r="I88" s="45" t="n">
        <x:f>VLOOKUP($A88,'02_征信特征'!$A$5:$J$204,6,FALSE)</x:f>
        <x:v>0</x:v>
      </x:c>
      <x:c r="J88" s="45" t="n">
        <x:f>VLOOKUP($A88,'02_征信特征'!$A$5:$J$204,7,FALSE)</x:f>
        <x:v>0</x:v>
      </x:c>
      <x:c r="K88" s="45" t="n">
        <x:f>VLOOKUP($A88,'02_征信特征'!$A$5:$J$204,8,FALSE)</x:f>
        <x:v>11</x:v>
      </x:c>
      <x:c r="L88" s="42" t="str">
        <x:f>VLOOKUP($A88,'02_征信特征'!$A$5:$J$204,9,FALSE)</x:f>
        <x:v>N</x:v>
      </x:c>
      <x:c r="M88" s="42" t="str">
        <x:f>VLOOKUP($A88,'03_决策日志'!$A$5:$G$204,4,FALSE)</x:f>
        <x:v>PASS</x:v>
      </x:c>
      <x:c r="N88" s="42" t="str">
        <x:f>IFERROR(VLOOKUP($A88,'04_人工审核'!$A$5:$H$57,6,FALSE),"NOT_REQUIRED")</x:f>
        <x:v>NOT_REQUIRED</x:v>
      </x:c>
      <x:c r="O88" s="42" t="str">
        <x:f>IFERROR(VLOOKUP($A88,'05_贷后表现'!$A$5:$J$137,2,FALSE),"N")</x:f>
        <x:v>Y</x:v>
      </x:c>
      <x:c r="P88" s="42" t="str">
        <x:f>IFERROR(VLOOKUP($A88,'05_贷后表现'!$A$5:$J$137,6,FALSE),"")</x:f>
        <x:v>N</x:v>
      </x:c>
      <x:c r="Q88" s="42" t="str">
        <x:f>IFERROR(VLOOKUP($A88,'05_贷后表现'!$A$5:$J$137,7,FALSE),"")</x:f>
        <x:v>N</x:v>
      </x:c>
      <x:c r="R88" s="45" t="n">
        <x:f>IFERROR(VLOOKUP($A88,'05_贷后表现'!$A$5:$J$137,8,FALSE),"")</x:f>
        <x:v>7</x:v>
      </x:c>
      <x:c r="S88" s="35" t="str">
        <x:f>IF(F88&lt;500,"REJECT",IF(OR(I88&gt;=2,J88&gt;60),"REJECT",IF(F88&lt;560,"REVIEW",IF(G88="","REVIEW",IF(AND(L88&lt;&gt;"Y",G88&gt;0.7),"REVIEW","PASS")))))</x:f>
        <x:v>PASS</x:v>
      </x:c>
      <x:c r="T88" s="35" t="str">
        <x:f>M88&amp;"→"&amp;S88</x:f>
        <x:v>PASS→PASS</x:v>
      </x:c>
    </x:row>
    <x:row r="89">
      <x:c r="A89" s="42" t="str">
        <x:v>APP2025000085</x:v>
      </x:c>
      <x:c r="B89" s="43" t="n">
        <x:f>VLOOKUP($A89,'01_申请数据'!$A$5:$L$204,3,FALSE)</x:f>
        <x:v>45837.43472222222</x:v>
      </x:c>
      <x:c r="C89" s="44" t="n">
        <x:f>VLOOKUP($A89,'01_申请数据'!$A$5:$L$204,5,FALSE)</x:f>
        <x:v>84000</x:v>
      </x:c>
      <x:c r="D89" s="45" t="n">
        <x:f>VLOOKUP($A89,'01_申请数据'!$A$5:$L$204,6,FALSE)</x:f>
        <x:v>18</x:v>
      </x:c>
      <x:c r="E89" s="44" t="n">
        <x:f>VLOOKUP($A89,'01_申请数据'!$A$5:$L$204,10,FALSE)</x:f>
        <x:v>11600</x:v>
      </x:c>
      <x:c r="F89" s="45" t="n">
        <x:f>VLOOKUP($A89,'02_征信特征'!$A$5:$J$204,3,FALSE)</x:f>
        <x:v>598</x:v>
      </x:c>
      <x:c r="G89" s="46" t="n">
        <x:f>VLOOKUP($A89,'02_征信特征'!$A$5:$J$204,4,FALSE)</x:f>
        <x:v>0.909</x:v>
      </x:c>
      <x:c r="H89" s="45" t="n">
        <x:f>VLOOKUP($A89,'02_征信特征'!$A$5:$J$204,5,FALSE)</x:f>
        <x:v>5</x:v>
      </x:c>
      <x:c r="I89" s="45" t="n">
        <x:f>VLOOKUP($A89,'02_征信特征'!$A$5:$J$204,6,FALSE)</x:f>
        <x:v>2</x:v>
      </x:c>
      <x:c r="J89" s="45" t="n">
        <x:f>VLOOKUP($A89,'02_征信特征'!$A$5:$J$204,7,FALSE)</x:f>
        <x:v>71</x:v>
      </x:c>
      <x:c r="K89" s="45" t="n">
        <x:f>VLOOKUP($A89,'02_征信特征'!$A$5:$J$204,8,FALSE)</x:f>
        <x:v>11</x:v>
      </x:c>
      <x:c r="L89" s="42" t="str">
        <x:f>VLOOKUP($A89,'02_征信特征'!$A$5:$J$204,9,FALSE)</x:f>
        <x:v>N</x:v>
      </x:c>
      <x:c r="M89" s="42" t="str">
        <x:f>VLOOKUP($A89,'03_决策日志'!$A$5:$G$204,4,FALSE)</x:f>
        <x:v>REVIEW</x:v>
      </x:c>
      <x:c r="N89" s="42" t="str">
        <x:f>IFERROR(VLOOKUP($A89,'04_人工审核'!$A$5:$H$57,6,FALSE),"NOT_REQUIRED")</x:f>
        <x:v>APPROVE</x:v>
      </x:c>
      <x:c r="O89" s="42" t="str">
        <x:f>IFERROR(VLOOKUP($A89,'05_贷后表现'!$A$5:$J$137,2,FALSE),"N")</x:f>
        <x:v>N</x:v>
      </x:c>
      <x:c r="P89" s="42" t="str">
        <x:f>IFERROR(VLOOKUP($A89,'05_贷后表现'!$A$5:$J$137,6,FALSE),"")</x:f>
      </x:c>
      <x:c r="Q89" s="42" t="str">
        <x:f>IFERROR(VLOOKUP($A89,'05_贷后表现'!$A$5:$J$137,7,FALSE),"")</x:f>
      </x:c>
      <x:c r="R89" s="45" t="str">
        <x:f>IFERROR(VLOOKUP($A89,'05_贷后表现'!$A$5:$J$137,8,FALSE),"")</x:f>
      </x:c>
      <x:c r="S89" s="35" t="str">
        <x:f>IF(F89&lt;500,"REJECT",IF(OR(I89&gt;=2,J89&gt;60),"REJECT",IF(F89&lt;560,"REVIEW",IF(G89="","REVIEW",IF(AND(L89&lt;&gt;"Y",G89&gt;0.7),"REVIEW","PASS")))))</x:f>
        <x:v>REJECT</x:v>
      </x:c>
      <x:c r="T89" s="35" t="str">
        <x:f>M89&amp;"→"&amp;S89</x:f>
        <x:v>REVIEW→REJECT</x:v>
      </x:c>
    </x:row>
    <x:row r="90">
      <x:c r="A90" s="42" t="str">
        <x:v>APP2025000086</x:v>
      </x:c>
      <x:c r="B90" s="43" t="n">
        <x:f>VLOOKUP($A90,'01_申请数据'!$A$5:$L$204,3,FALSE)</x:f>
        <x:v>45676.61388888889</x:v>
      </x:c>
      <x:c r="C90" s="44" t="n">
        <x:f>VLOOKUP($A90,'01_申请数据'!$A$5:$L$204,5,FALSE)</x:f>
        <x:v>122000</x:v>
      </x:c>
      <x:c r="D90" s="45" t="n">
        <x:f>VLOOKUP($A90,'01_申请数据'!$A$5:$L$204,6,FALSE)</x:f>
        <x:v>6</x:v>
      </x:c>
      <x:c r="E90" s="44" t="n">
        <x:f>VLOOKUP($A90,'01_申请数据'!$A$5:$L$204,10,FALSE)</x:f>
        <x:v>27900</x:v>
      </x:c>
      <x:c r="F90" s="45" t="n">
        <x:f>VLOOKUP($A90,'02_征信特征'!$A$5:$J$204,3,FALSE)</x:f>
        <x:v>692</x:v>
      </x:c>
      <x:c r="G90" s="46" t="n">
        <x:f>VLOOKUP($A90,'02_征信特征'!$A$5:$J$204,4,FALSE)</x:f>
        <x:v>0.324</x:v>
      </x:c>
      <x:c r="H90" s="45" t="n">
        <x:f>VLOOKUP($A90,'02_征信特征'!$A$5:$J$204,5,FALSE)</x:f>
        <x:v>4</x:v>
      </x:c>
      <x:c r="I90" s="45" t="n">
        <x:f>VLOOKUP($A90,'02_征信特征'!$A$5:$J$204,6,FALSE)</x:f>
        <x:v>0</x:v>
      </x:c>
      <x:c r="J90" s="45" t="n">
        <x:f>VLOOKUP($A90,'02_征信特征'!$A$5:$J$204,7,FALSE)</x:f>
        <x:v>0</x:v>
      </x:c>
      <x:c r="K90" s="45" t="n">
        <x:f>VLOOKUP($A90,'02_征信特征'!$A$5:$J$204,8,FALSE)</x:f>
        <x:v>7</x:v>
      </x:c>
      <x:c r="L90" s="42" t="str">
        <x:f>VLOOKUP($A90,'02_征信特征'!$A$5:$J$204,9,FALSE)</x:f>
        <x:v>N</x:v>
      </x:c>
      <x:c r="M90" s="42" t="str">
        <x:f>VLOOKUP($A90,'03_决策日志'!$A$5:$G$204,4,FALSE)</x:f>
        <x:v>PASS</x:v>
      </x:c>
      <x:c r="N90" s="42" t="str">
        <x:f>IFERROR(VLOOKUP($A90,'04_人工审核'!$A$5:$H$57,6,FALSE),"NOT_REQUIRED")</x:f>
        <x:v>NOT_REQUIRED</x:v>
      </x:c>
      <x:c r="O90" s="42" t="str">
        <x:f>IFERROR(VLOOKUP($A90,'05_贷后表现'!$A$5:$J$137,2,FALSE),"N")</x:f>
        <x:v>Y</x:v>
      </x:c>
      <x:c r="P90" s="42" t="str">
        <x:f>IFERROR(VLOOKUP($A90,'05_贷后表现'!$A$5:$J$137,6,FALSE),"")</x:f>
        <x:v>N</x:v>
      </x:c>
      <x:c r="Q90" s="42" t="str">
        <x:f>IFERROR(VLOOKUP($A90,'05_贷后表现'!$A$5:$J$137,7,FALSE),"")</x:f>
        <x:v>N</x:v>
      </x:c>
      <x:c r="R90" s="45" t="n">
        <x:f>IFERROR(VLOOKUP($A90,'05_贷后表现'!$A$5:$J$137,8,FALSE),"")</x:f>
        <x:v>6</x:v>
      </x:c>
      <x:c r="S90" s="35" t="str">
        <x:f>IF(F90&lt;500,"REJECT",IF(OR(I90&gt;=2,J90&gt;60),"REJECT",IF(F90&lt;560,"REVIEW",IF(G90="","REVIEW",IF(AND(L90&lt;&gt;"Y",G90&gt;0.7),"REVIEW","PASS")))))</x:f>
        <x:v>PASS</x:v>
      </x:c>
      <x:c r="T90" s="35" t="str">
        <x:f>M90&amp;"→"&amp;S90</x:f>
        <x:v>PASS→PASS</x:v>
      </x:c>
    </x:row>
    <x:row r="91">
      <x:c r="A91" s="42" t="str">
        <x:v>APP2025000087</x:v>
      </x:c>
      <x:c r="B91" s="43" t="n">
        <x:f>VLOOKUP($A91,'01_申请数据'!$A$5:$L$204,3,FALSE)</x:f>
        <x:v>45752.41805555556</x:v>
      </x:c>
      <x:c r="C91" s="44" t="n">
        <x:f>VLOOKUP($A91,'01_申请数据'!$A$5:$L$204,5,FALSE)</x:f>
        <x:v>108000</x:v>
      </x:c>
      <x:c r="D91" s="45" t="n">
        <x:f>VLOOKUP($A91,'01_申请数据'!$A$5:$L$204,6,FALSE)</x:f>
        <x:v>24</x:v>
      </x:c>
      <x:c r="E91" s="44" t="n">
        <x:f>VLOOKUP($A91,'01_申请数据'!$A$5:$L$204,10,FALSE)</x:f>
        <x:v>23600</x:v>
      </x:c>
      <x:c r="F91" s="45" t="n">
        <x:f>VLOOKUP($A91,'02_征信特征'!$A$5:$J$204,3,FALSE)</x:f>
        <x:v>638</x:v>
      </x:c>
      <x:c r="G91" s="46" t="n">
        <x:f>VLOOKUP($A91,'02_征信特征'!$A$5:$J$204,4,FALSE)</x:f>
        <x:v>0.282</x:v>
      </x:c>
      <x:c r="H91" s="45" t="n">
        <x:f>VLOOKUP($A91,'02_征信特征'!$A$5:$J$204,5,FALSE)</x:f>
        <x:v>5</x:v>
      </x:c>
      <x:c r="I91" s="45" t="n">
        <x:f>VLOOKUP($A91,'02_征信特征'!$A$5:$J$204,6,FALSE)</x:f>
        <x:v>0</x:v>
      </x:c>
      <x:c r="J91" s="45" t="n">
        <x:f>VLOOKUP($A91,'02_征信特征'!$A$5:$J$204,7,FALSE)</x:f>
        <x:v>0</x:v>
      </x:c>
      <x:c r="K91" s="45" t="n">
        <x:f>VLOOKUP($A91,'02_征信特征'!$A$5:$J$204,8,FALSE)</x:f>
        <x:v>10</x:v>
      </x:c>
      <x:c r="L91" s="42" t="str">
        <x:f>VLOOKUP($A91,'02_征信特征'!$A$5:$J$204,9,FALSE)</x:f>
        <x:v>N</x:v>
      </x:c>
      <x:c r="M91" s="42" t="str">
        <x:f>VLOOKUP($A91,'03_决策日志'!$A$5:$G$204,4,FALSE)</x:f>
        <x:v>PASS</x:v>
      </x:c>
      <x:c r="N91" s="42" t="str">
        <x:f>IFERROR(VLOOKUP($A91,'04_人工审核'!$A$5:$H$57,6,FALSE),"NOT_REQUIRED")</x:f>
        <x:v>NOT_REQUIRED</x:v>
      </x:c>
      <x:c r="O91" s="42" t="str">
        <x:f>IFERROR(VLOOKUP($A91,'05_贷后表现'!$A$5:$J$137,2,FALSE),"N")</x:f>
        <x:v>Y</x:v>
      </x:c>
      <x:c r="P91" s="42" t="str">
        <x:f>IFERROR(VLOOKUP($A91,'05_贷后表现'!$A$5:$J$137,6,FALSE),"")</x:f>
        <x:v>N</x:v>
      </x:c>
      <x:c r="Q91" s="42" t="str">
        <x:f>IFERROR(VLOOKUP($A91,'05_贷后表现'!$A$5:$J$137,7,FALSE),"")</x:f>
        <x:v>N</x:v>
      </x:c>
      <x:c r="R91" s="45" t="n">
        <x:f>IFERROR(VLOOKUP($A91,'05_贷后表现'!$A$5:$J$137,8,FALSE),"")</x:f>
        <x:v>8</x:v>
      </x:c>
      <x:c r="S91" s="35" t="str">
        <x:f>IF(F91&lt;500,"REJECT",IF(OR(I91&gt;=2,J91&gt;60),"REJECT",IF(F91&lt;560,"REVIEW",IF(G91="","REVIEW",IF(AND(L91&lt;&gt;"Y",G91&gt;0.7),"REVIEW","PASS")))))</x:f>
        <x:v>PASS</x:v>
      </x:c>
      <x:c r="T91" s="35" t="str">
        <x:f>M91&amp;"→"&amp;S91</x:f>
        <x:v>PASS→PASS</x:v>
      </x:c>
    </x:row>
    <x:row r="92">
      <x:c r="A92" s="42" t="str">
        <x:v>APP2025000088</x:v>
      </x:c>
      <x:c r="B92" s="43" t="n">
        <x:f>VLOOKUP($A92,'01_申请数据'!$A$5:$L$204,3,FALSE)</x:f>
        <x:v>45699.736805555556</x:v>
      </x:c>
      <x:c r="C92" s="44" t="n">
        <x:f>VLOOKUP($A92,'01_申请数据'!$A$5:$L$204,5,FALSE)</x:f>
        <x:v>25000</x:v>
      </x:c>
      <x:c r="D92" s="45" t="n">
        <x:f>VLOOKUP($A92,'01_申请数据'!$A$5:$L$204,6,FALSE)</x:f>
        <x:v>12</x:v>
      </x:c>
      <x:c r="E92" s="44" t="n">
        <x:f>VLOOKUP($A92,'01_申请数据'!$A$5:$L$204,10,FALSE)</x:f>
        <x:v>12500</x:v>
      </x:c>
      <x:c r="F92" s="45" t="n">
        <x:f>VLOOKUP($A92,'02_征信特征'!$A$5:$J$204,3,FALSE)</x:f>
        <x:v>614</x:v>
      </x:c>
      <x:c r="G92" s="46" t="n">
        <x:f>VLOOKUP($A92,'02_征信特征'!$A$5:$J$204,4,FALSE)</x:f>
        <x:v>0.658</x:v>
      </x:c>
      <x:c r="H92" s="45" t="n">
        <x:f>VLOOKUP($A92,'02_征信特征'!$A$5:$J$204,5,FALSE)</x:f>
        <x:v>0</x:v>
      </x:c>
      <x:c r="I92" s="45" t="n">
        <x:f>VLOOKUP($A92,'02_征信特征'!$A$5:$J$204,6,FALSE)</x:f>
        <x:v>0</x:v>
      </x:c>
      <x:c r="J92" s="45" t="n">
        <x:f>VLOOKUP($A92,'02_征信特征'!$A$5:$J$204,7,FALSE)</x:f>
        <x:v>0</x:v>
      </x:c>
      <x:c r="K92" s="45" t="n">
        <x:f>VLOOKUP($A92,'02_征信特征'!$A$5:$J$204,8,FALSE)</x:f>
        <x:v>7</x:v>
      </x:c>
      <x:c r="L92" s="42" t="str">
        <x:f>VLOOKUP($A92,'02_征信特征'!$A$5:$J$204,9,FALSE)</x:f>
        <x:v>N</x:v>
      </x:c>
      <x:c r="M92" s="42" t="str">
        <x:f>VLOOKUP($A92,'03_决策日志'!$A$5:$G$204,4,FALSE)</x:f>
        <x:v>PASS</x:v>
      </x:c>
      <x:c r="N92" s="42" t="str">
        <x:f>IFERROR(VLOOKUP($A92,'04_人工审核'!$A$5:$H$57,6,FALSE),"NOT_REQUIRED")</x:f>
        <x:v>NOT_REQUIRED</x:v>
      </x:c>
      <x:c r="O92" s="42" t="str">
        <x:f>IFERROR(VLOOKUP($A92,'05_贷后表现'!$A$5:$J$137,2,FALSE),"N")</x:f>
        <x:v>N</x:v>
      </x:c>
      <x:c r="P92" s="42" t="str">
        <x:f>IFERROR(VLOOKUP($A92,'05_贷后表现'!$A$5:$J$137,6,FALSE),"")</x:f>
      </x:c>
      <x:c r="Q92" s="42" t="str">
        <x:f>IFERROR(VLOOKUP($A92,'05_贷后表现'!$A$5:$J$137,7,FALSE),"")</x:f>
      </x:c>
      <x:c r="R92" s="45" t="str">
        <x:f>IFERROR(VLOOKUP($A92,'05_贷后表现'!$A$5:$J$137,8,FALSE),"")</x:f>
      </x:c>
      <x:c r="S92" s="35" t="str">
        <x:f>IF(F92&lt;500,"REJECT",IF(OR(I92&gt;=2,J92&gt;60),"REJECT",IF(F92&lt;560,"REVIEW",IF(G92="","REVIEW",IF(AND(L92&lt;&gt;"Y",G92&gt;0.7),"REVIEW","PASS")))))</x:f>
        <x:v>PASS</x:v>
      </x:c>
      <x:c r="T92" s="35" t="str">
        <x:f>M92&amp;"→"&amp;S92</x:f>
        <x:v>PASS→PASS</x:v>
      </x:c>
    </x:row>
    <x:row r="93">
      <x:c r="A93" s="42" t="str">
        <x:v>APP2025000089</x:v>
      </x:c>
      <x:c r="B93" s="43" t="n">
        <x:f>VLOOKUP($A93,'01_申请数据'!$A$5:$L$204,3,FALSE)</x:f>
        <x:v>45798.46319444444</x:v>
      </x:c>
      <x:c r="C93" s="44" t="n">
        <x:f>VLOOKUP($A93,'01_申请数据'!$A$5:$L$204,5,FALSE)</x:f>
        <x:v>145000</x:v>
      </x:c>
      <x:c r="D93" s="45" t="n">
        <x:f>VLOOKUP($A93,'01_申请数据'!$A$5:$L$204,6,FALSE)</x:f>
        <x:v>6</x:v>
      </x:c>
      <x:c r="E93" s="44" t="n">
        <x:f>VLOOKUP($A93,'01_申请数据'!$A$5:$L$204,10,FALSE)</x:f>
        <x:v>24800</x:v>
      </x:c>
      <x:c r="F93" s="45" t="n">
        <x:f>VLOOKUP($A93,'02_征信特征'!$A$5:$J$204,3,FALSE)</x:f>
        <x:v>711</x:v>
      </x:c>
      <x:c r="G93" s="46" t="n">
        <x:f>VLOOKUP($A93,'02_征信特征'!$A$5:$J$204,4,FALSE)</x:f>
        <x:v>0.386</x:v>
      </x:c>
      <x:c r="H93" s="45" t="n">
        <x:f>VLOOKUP($A93,'02_征信特征'!$A$5:$J$204,5,FALSE)</x:f>
        <x:v>3</x:v>
      </x:c>
      <x:c r="I93" s="45" t="n">
        <x:f>VLOOKUP($A93,'02_征信特征'!$A$5:$J$204,6,FALSE)</x:f>
        <x:v>0</x:v>
      </x:c>
      <x:c r="J93" s="45" t="n">
        <x:f>VLOOKUP($A93,'02_征信特征'!$A$5:$J$204,7,FALSE)</x:f>
        <x:v>0</x:v>
      </x:c>
      <x:c r="K93" s="45" t="n">
        <x:f>VLOOKUP($A93,'02_征信特征'!$A$5:$J$204,8,FALSE)</x:f>
        <x:v>7</x:v>
      </x:c>
      <x:c r="L93" s="42" t="str">
        <x:f>VLOOKUP($A93,'02_征信特征'!$A$5:$J$204,9,FALSE)</x:f>
        <x:v>N</x:v>
      </x:c>
      <x:c r="M93" s="42" t="str">
        <x:f>VLOOKUP($A93,'03_决策日志'!$A$5:$G$204,4,FALSE)</x:f>
        <x:v>PASS</x:v>
      </x:c>
      <x:c r="N93" s="42" t="str">
        <x:f>IFERROR(VLOOKUP($A93,'04_人工审核'!$A$5:$H$57,6,FALSE),"NOT_REQUIRED")</x:f>
        <x:v>NOT_REQUIRED</x:v>
      </x:c>
      <x:c r="O93" s="42" t="str">
        <x:f>IFERROR(VLOOKUP($A93,'05_贷后表现'!$A$5:$J$137,2,FALSE),"N")</x:f>
        <x:v>Y</x:v>
      </x:c>
      <x:c r="P93" s="42" t="str">
        <x:f>IFERROR(VLOOKUP($A93,'05_贷后表现'!$A$5:$J$137,6,FALSE),"")</x:f>
        <x:v>N</x:v>
      </x:c>
      <x:c r="Q93" s="42" t="str">
        <x:f>IFERROR(VLOOKUP($A93,'05_贷后表现'!$A$5:$J$137,7,FALSE),"")</x:f>
        <x:v>N</x:v>
      </x:c>
      <x:c r="R93" s="45" t="n">
        <x:f>IFERROR(VLOOKUP($A93,'05_贷后表现'!$A$5:$J$137,8,FALSE),"")</x:f>
        <x:v>6</x:v>
      </x:c>
      <x:c r="S93" s="35" t="str">
        <x:f>IF(F93&lt;500,"REJECT",IF(OR(I93&gt;=2,J93&gt;60),"REJECT",IF(F93&lt;560,"REVIEW",IF(G93="","REVIEW",IF(AND(L93&lt;&gt;"Y",G93&gt;0.7),"REVIEW","PASS")))))</x:f>
        <x:v>PASS</x:v>
      </x:c>
      <x:c r="T93" s="35" t="str">
        <x:f>M93&amp;"→"&amp;S93</x:f>
        <x:v>PASS→PASS</x:v>
      </x:c>
    </x:row>
    <x:row r="94">
      <x:c r="A94" s="42" t="str">
        <x:v>APP2025000090</x:v>
      </x:c>
      <x:c r="B94" s="43" t="n">
        <x:f>VLOOKUP($A94,'01_申请数据'!$A$5:$L$204,3,FALSE)</x:f>
        <x:v>45726.675</x:v>
      </x:c>
      <x:c r="C94" s="44" t="n">
        <x:f>VLOOKUP($A94,'01_申请数据'!$A$5:$L$204,5,FALSE)</x:f>
        <x:v>82000</x:v>
      </x:c>
      <x:c r="D94" s="45" t="n">
        <x:f>VLOOKUP($A94,'01_申请数据'!$A$5:$L$204,6,FALSE)</x:f>
        <x:v>18</x:v>
      </x:c>
      <x:c r="E94" s="44" t="n">
        <x:f>VLOOKUP($A94,'01_申请数据'!$A$5:$L$204,10,FALSE)</x:f>
        <x:v>26700</x:v>
      </x:c>
      <x:c r="F94" s="45" t="n">
        <x:f>VLOOKUP($A94,'02_征信特征'!$A$5:$J$204,3,FALSE)</x:f>
        <x:v>605</x:v>
      </x:c>
      <x:c r="G94" s="46" t="n">
        <x:f>VLOOKUP($A94,'02_征信特征'!$A$5:$J$204,4,FALSE)</x:f>
        <x:v>0.938</x:v>
      </x:c>
      <x:c r="H94" s="45" t="n">
        <x:f>VLOOKUP($A94,'02_征信特征'!$A$5:$J$204,5,FALSE)</x:f>
        <x:v>4</x:v>
      </x:c>
      <x:c r="I94" s="45" t="n">
        <x:f>VLOOKUP($A94,'02_征信特征'!$A$5:$J$204,6,FALSE)</x:f>
        <x:v>1</x:v>
      </x:c>
      <x:c r="J94" s="45" t="n">
        <x:f>VLOOKUP($A94,'02_征信特征'!$A$5:$J$204,7,FALSE)</x:f>
        <x:v>15</x:v>
      </x:c>
      <x:c r="K94" s="45" t="n">
        <x:f>VLOOKUP($A94,'02_征信特征'!$A$5:$J$204,8,FALSE)</x:f>
        <x:v>8</x:v>
      </x:c>
      <x:c r="L94" s="42" t="str">
        <x:f>VLOOKUP($A94,'02_征信特征'!$A$5:$J$204,9,FALSE)</x:f>
        <x:v>N</x:v>
      </x:c>
      <x:c r="M94" s="42" t="str">
        <x:f>VLOOKUP($A94,'03_决策日志'!$A$5:$G$204,4,FALSE)</x:f>
        <x:v>REVIEW</x:v>
      </x:c>
      <x:c r="N94" s="42" t="str">
        <x:f>IFERROR(VLOOKUP($A94,'04_人工审核'!$A$5:$H$57,6,FALSE),"NOT_REQUIRED")</x:f>
        <x:v>DECLINE</x:v>
      </x:c>
      <x:c r="O94" s="42" t="str">
        <x:f>IFERROR(VLOOKUP($A94,'05_贷后表现'!$A$5:$J$137,2,FALSE),"N")</x:f>
        <x:v>N</x:v>
      </x:c>
      <x:c r="P94" s="42" t="str">
        <x:f>IFERROR(VLOOKUP($A94,'05_贷后表现'!$A$5:$J$137,6,FALSE),"")</x:f>
      </x:c>
      <x:c r="Q94" s="42" t="str">
        <x:f>IFERROR(VLOOKUP($A94,'05_贷后表现'!$A$5:$J$137,7,FALSE),"")</x:f>
      </x:c>
      <x:c r="R94" s="45" t="str">
        <x:f>IFERROR(VLOOKUP($A94,'05_贷后表现'!$A$5:$J$137,8,FALSE),"")</x:f>
      </x:c>
      <x:c r="S94" s="35" t="str">
        <x:f>IF(F94&lt;500,"REJECT",IF(OR(I94&gt;=2,J94&gt;60),"REJECT",IF(F94&lt;560,"REVIEW",IF(G94="","REVIEW",IF(AND(L94&lt;&gt;"Y",G94&gt;0.7),"REVIEW","PASS")))))</x:f>
        <x:v>REVIEW</x:v>
      </x:c>
      <x:c r="T94" s="35" t="str">
        <x:f>M94&amp;"→"&amp;S94</x:f>
        <x:v>REVIEW→REVIEW</x:v>
      </x:c>
    </x:row>
    <x:row r="95">
      <x:c r="A95" s="42" t="str">
        <x:v>APP2025000091</x:v>
      </x:c>
      <x:c r="B95" s="43" t="n">
        <x:f>VLOOKUP($A95,'01_申请数据'!$A$5:$L$204,3,FALSE)</x:f>
        <x:v>45793.58263888889</x:v>
      </x:c>
      <x:c r="C95" s="44" t="n">
        <x:f>VLOOKUP($A95,'01_申请数据'!$A$5:$L$204,5,FALSE)</x:f>
        <x:v>13000</x:v>
      </x:c>
      <x:c r="D95" s="45" t="n">
        <x:f>VLOOKUP($A95,'01_申请数据'!$A$5:$L$204,6,FALSE)</x:f>
        <x:v>12</x:v>
      </x:c>
      <x:c r="E95" s="44" t="n">
        <x:f>VLOOKUP($A95,'01_申请数据'!$A$5:$L$204,10,FALSE)</x:f>
        <x:v>8400</x:v>
      </x:c>
      <x:c r="F95" s="45" t="n">
        <x:f>VLOOKUP($A95,'02_征信特征'!$A$5:$J$204,3,FALSE)</x:f>
        <x:v>566</x:v>
      </x:c>
      <x:c r="G95" s="46" t="n">
        <x:f>VLOOKUP($A95,'02_征信特征'!$A$5:$J$204,4,FALSE)</x:f>
        <x:v>0.537</x:v>
      </x:c>
      <x:c r="H95" s="45" t="n">
        <x:f>VLOOKUP($A95,'02_征信特征'!$A$5:$J$204,5,FALSE)</x:f>
        <x:v>0</x:v>
      </x:c>
      <x:c r="I95" s="45" t="n">
        <x:f>VLOOKUP($A95,'02_征信特征'!$A$5:$J$204,6,FALSE)</x:f>
        <x:v>2</x:v>
      </x:c>
      <x:c r="J95" s="45" t="n">
        <x:f>VLOOKUP($A95,'02_征信特征'!$A$5:$J$204,7,FALSE)</x:f>
        <x:v>26</x:v>
      </x:c>
      <x:c r="K95" s="45" t="n">
        <x:f>VLOOKUP($A95,'02_征信特征'!$A$5:$J$204,8,FALSE)</x:f>
        <x:v>3</x:v>
      </x:c>
      <x:c r="L95" s="42" t="str">
        <x:f>VLOOKUP($A95,'02_征信特征'!$A$5:$J$204,9,FALSE)</x:f>
        <x:v>N</x:v>
      </x:c>
      <x:c r="M95" s="42" t="str">
        <x:f>VLOOKUP($A95,'03_决策日志'!$A$5:$G$204,4,FALSE)</x:f>
        <x:v>PASS</x:v>
      </x:c>
      <x:c r="N95" s="42" t="str">
        <x:f>IFERROR(VLOOKUP($A95,'04_人工审核'!$A$5:$H$57,6,FALSE),"NOT_REQUIRED")</x:f>
        <x:v>NOT_REQUIRED</x:v>
      </x:c>
      <x:c r="O95" s="42" t="str">
        <x:f>IFERROR(VLOOKUP($A95,'05_贷后表现'!$A$5:$J$137,2,FALSE),"N")</x:f>
        <x:v>Y</x:v>
      </x:c>
      <x:c r="P95" s="42" t="str">
        <x:f>IFERROR(VLOOKUP($A95,'05_贷后表现'!$A$5:$J$137,6,FALSE),"")</x:f>
        <x:v>N</x:v>
      </x:c>
      <x:c r="Q95" s="42" t="str">
        <x:f>IFERROR(VLOOKUP($A95,'05_贷后表现'!$A$5:$J$137,7,FALSE),"")</x:f>
        <x:v>N</x:v>
      </x:c>
      <x:c r="R95" s="45" t="n">
        <x:f>IFERROR(VLOOKUP($A95,'05_贷后表现'!$A$5:$J$137,8,FALSE),"")</x:f>
        <x:v>14</x:v>
      </x:c>
      <x:c r="S95" s="35" t="str">
        <x:f>IF(F95&lt;500,"REJECT",IF(OR(I95&gt;=2,J95&gt;60),"REJECT",IF(F95&lt;560,"REVIEW",IF(G95="","REVIEW",IF(AND(L95&lt;&gt;"Y",G95&gt;0.7),"REVIEW","PASS")))))</x:f>
        <x:v>REJECT</x:v>
      </x:c>
      <x:c r="T95" s="35" t="str">
        <x:f>M95&amp;"→"&amp;S95</x:f>
        <x:v>PASS→REJECT</x:v>
      </x:c>
    </x:row>
    <x:row r="96">
      <x:c r="A96" s="42" t="str">
        <x:v>APP2025000092</x:v>
      </x:c>
      <x:c r="B96" s="43" t="n">
        <x:f>VLOOKUP($A96,'01_申请数据'!$A$5:$L$204,3,FALSE)</x:f>
        <x:v>45796.53125</x:v>
      </x:c>
      <x:c r="C96" s="44" t="n">
        <x:f>VLOOKUP($A96,'01_申请数据'!$A$5:$L$204,5,FALSE)</x:f>
        <x:v>48000</x:v>
      </x:c>
      <x:c r="D96" s="45" t="n">
        <x:f>VLOOKUP($A96,'01_申请数据'!$A$5:$L$204,6,FALSE)</x:f>
        <x:v>6</x:v>
      </x:c>
      <x:c r="E96" s="44" t="n">
        <x:f>VLOOKUP($A96,'01_申请数据'!$A$5:$L$204,10,FALSE)</x:f>
        <x:v>16500</x:v>
      </x:c>
      <x:c r="F96" s="45" t="n">
        <x:f>VLOOKUP($A96,'02_征信特征'!$A$5:$J$204,3,FALSE)</x:f>
        <x:v>624</x:v>
      </x:c>
      <x:c r="G96" s="46" t="n">
        <x:f>VLOOKUP($A96,'02_征信特征'!$A$5:$J$204,4,FALSE)</x:f>
        <x:v>0.459</x:v>
      </x:c>
      <x:c r="H96" s="45" t="n">
        <x:f>VLOOKUP($A96,'02_征信特征'!$A$5:$J$204,5,FALSE)</x:f>
        <x:v>5</x:v>
      </x:c>
      <x:c r="I96" s="45" t="n">
        <x:f>VLOOKUP($A96,'02_征信特征'!$A$5:$J$204,6,FALSE)</x:f>
        <x:v>0</x:v>
      </x:c>
      <x:c r="J96" s="45" t="n">
        <x:f>VLOOKUP($A96,'02_征信特征'!$A$5:$J$204,7,FALSE)</x:f>
        <x:v>0</x:v>
      </x:c>
      <x:c r="K96" s="45" t="n">
        <x:f>VLOOKUP($A96,'02_征信特征'!$A$5:$J$204,8,FALSE)</x:f>
        <x:v>4</x:v>
      </x:c>
      <x:c r="L96" s="42" t="str">
        <x:f>VLOOKUP($A96,'02_征信特征'!$A$5:$J$204,9,FALSE)</x:f>
        <x:v>N</x:v>
      </x:c>
      <x:c r="M96" s="42" t="str">
        <x:f>VLOOKUP($A96,'03_决策日志'!$A$5:$G$204,4,FALSE)</x:f>
        <x:v>PASS</x:v>
      </x:c>
      <x:c r="N96" s="42" t="str">
        <x:f>IFERROR(VLOOKUP($A96,'04_人工审核'!$A$5:$H$57,6,FALSE),"NOT_REQUIRED")</x:f>
        <x:v>NOT_REQUIRED</x:v>
      </x:c>
      <x:c r="O96" s="42" t="str">
        <x:f>IFERROR(VLOOKUP($A96,'05_贷后表现'!$A$5:$J$137,2,FALSE),"N")</x:f>
        <x:v>Y</x:v>
      </x:c>
      <x:c r="P96" s="42" t="str">
        <x:f>IFERROR(VLOOKUP($A96,'05_贷后表现'!$A$5:$J$137,6,FALSE),"")</x:f>
        <x:v>N</x:v>
      </x:c>
      <x:c r="Q96" s="42" t="str">
        <x:f>IFERROR(VLOOKUP($A96,'05_贷后表现'!$A$5:$J$137,7,FALSE),"")</x:f>
        <x:v>N</x:v>
      </x:c>
      <x:c r="R96" s="45" t="n">
        <x:f>IFERROR(VLOOKUP($A96,'05_贷后表现'!$A$5:$J$137,8,FALSE),"")</x:f>
        <x:v>11</x:v>
      </x:c>
      <x:c r="S96" s="35" t="str">
        <x:f>IF(F96&lt;500,"REJECT",IF(OR(I96&gt;=2,J96&gt;60),"REJECT",IF(F96&lt;560,"REVIEW",IF(G96="","REVIEW",IF(AND(L96&lt;&gt;"Y",G96&gt;0.7),"REVIEW","PASS")))))</x:f>
        <x:v>PASS</x:v>
      </x:c>
      <x:c r="T96" s="35" t="str">
        <x:f>M96&amp;"→"&amp;S96</x:f>
        <x:v>PASS→PASS</x:v>
      </x:c>
    </x:row>
    <x:row r="97">
      <x:c r="A97" s="42" t="str">
        <x:v>APP2025000093</x:v>
      </x:c>
      <x:c r="B97" s="43" t="n">
        <x:f>VLOOKUP($A97,'01_申请数据'!$A$5:$L$204,3,FALSE)</x:f>
        <x:v>45712.47361111111</x:v>
      </x:c>
      <x:c r="C97" s="44" t="n">
        <x:f>VLOOKUP($A97,'01_申请数据'!$A$5:$L$204,5,FALSE)</x:f>
        <x:v>144000</x:v>
      </x:c>
      <x:c r="D97" s="45" t="n">
        <x:f>VLOOKUP($A97,'01_申请数据'!$A$5:$L$204,6,FALSE)</x:f>
        <x:v>18</x:v>
      </x:c>
      <x:c r="E97" s="44" t="n">
        <x:f>VLOOKUP($A97,'01_申请数据'!$A$5:$L$204,10,FALSE)</x:f>
        <x:v>12700</x:v>
      </x:c>
      <x:c r="F97" s="45" t="n">
        <x:f>VLOOKUP($A97,'02_征信特征'!$A$5:$J$204,3,FALSE)</x:f>
        <x:v>705</x:v>
      </x:c>
      <x:c r="G97" s="46" t="n">
        <x:f>VLOOKUP($A97,'02_征信特征'!$A$5:$J$204,4,FALSE)</x:f>
        <x:v>0.389</x:v>
      </x:c>
      <x:c r="H97" s="45" t="n">
        <x:f>VLOOKUP($A97,'02_征信特征'!$A$5:$J$204,5,FALSE)</x:f>
        <x:v>3</x:v>
      </x:c>
      <x:c r="I97" s="45" t="n">
        <x:f>VLOOKUP($A97,'02_征信特征'!$A$5:$J$204,6,FALSE)</x:f>
        <x:v>0</x:v>
      </x:c>
      <x:c r="J97" s="45" t="n">
        <x:f>VLOOKUP($A97,'02_征信特征'!$A$5:$J$204,7,FALSE)</x:f>
        <x:v>0</x:v>
      </x:c>
      <x:c r="K97" s="45" t="n">
        <x:f>VLOOKUP($A97,'02_征信特征'!$A$5:$J$204,8,FALSE)</x:f>
        <x:v>9</x:v>
      </x:c>
      <x:c r="L97" s="42" t="str">
        <x:f>VLOOKUP($A97,'02_征信特征'!$A$5:$J$204,9,FALSE)</x:f>
        <x:v>Y</x:v>
      </x:c>
      <x:c r="M97" s="42" t="str">
        <x:f>VLOOKUP($A97,'03_决策日志'!$A$5:$G$204,4,FALSE)</x:f>
        <x:v>PASS</x:v>
      </x:c>
      <x:c r="N97" s="42" t="str">
        <x:f>IFERROR(VLOOKUP($A97,'04_人工审核'!$A$5:$H$57,6,FALSE),"NOT_REQUIRED")</x:f>
        <x:v>NOT_REQUIRED</x:v>
      </x:c>
      <x:c r="O97" s="42" t="str">
        <x:f>IFERROR(VLOOKUP($A97,'05_贷后表现'!$A$5:$J$137,2,FALSE),"N")</x:f>
        <x:v>Y</x:v>
      </x:c>
      <x:c r="P97" s="42" t="str">
        <x:f>IFERROR(VLOOKUP($A97,'05_贷后表现'!$A$5:$J$137,6,FALSE),"")</x:f>
        <x:v>N</x:v>
      </x:c>
      <x:c r="Q97" s="42" t="str">
        <x:f>IFERROR(VLOOKUP($A97,'05_贷后表现'!$A$5:$J$137,7,FALSE),"")</x:f>
        <x:v>N</x:v>
      </x:c>
      <x:c r="R97" s="45" t="n">
        <x:f>IFERROR(VLOOKUP($A97,'05_贷后表现'!$A$5:$J$137,8,FALSE),"")</x:f>
        <x:v>6</x:v>
      </x:c>
      <x:c r="S97" s="35" t="str">
        <x:f>IF(F97&lt;500,"REJECT",IF(OR(I97&gt;=2,J97&gt;60),"REJECT",IF(F97&lt;560,"REVIEW",IF(G97="","REVIEW",IF(AND(L97&lt;&gt;"Y",G97&gt;0.7),"REVIEW","PASS")))))</x:f>
        <x:v>PASS</x:v>
      </x:c>
      <x:c r="T97" s="35" t="str">
        <x:f>M97&amp;"→"&amp;S97</x:f>
        <x:v>PASS→PASS</x:v>
      </x:c>
    </x:row>
    <x:row r="98">
      <x:c r="A98" s="42" t="str">
        <x:v>APP2025000094</x:v>
      </x:c>
      <x:c r="B98" s="43" t="n">
        <x:f>VLOOKUP($A98,'01_申请数据'!$A$5:$L$204,3,FALSE)</x:f>
        <x:v>45735.34861111111</x:v>
      </x:c>
      <x:c r="C98" s="44" t="n">
        <x:f>VLOOKUP($A98,'01_申请数据'!$A$5:$L$204,5,FALSE)</x:f>
        <x:v>143000</x:v>
      </x:c>
      <x:c r="D98" s="45" t="n">
        <x:f>VLOOKUP($A98,'01_申请数据'!$A$5:$L$204,6,FALSE)</x:f>
        <x:v>18</x:v>
      </x:c>
      <x:c r="E98" s="44" t="n">
        <x:f>VLOOKUP($A98,'01_申请数据'!$A$5:$L$204,10,FALSE)</x:f>
        <x:v>23800</x:v>
      </x:c>
      <x:c r="F98" s="45" t="n">
        <x:f>VLOOKUP($A98,'02_征信特征'!$A$5:$J$204,3,FALSE)</x:f>
        <x:v>602</x:v>
      </x:c>
      <x:c r="G98" s="46" t="n">
        <x:f>VLOOKUP($A98,'02_征信特征'!$A$5:$J$204,4,FALSE)</x:f>
        <x:v>0.896</x:v>
      </x:c>
      <x:c r="H98" s="45" t="n">
        <x:f>VLOOKUP($A98,'02_征信特征'!$A$5:$J$204,5,FALSE)</x:f>
        <x:v>4</x:v>
      </x:c>
      <x:c r="I98" s="45" t="n">
        <x:f>VLOOKUP($A98,'02_征信特征'!$A$5:$J$204,6,FALSE)</x:f>
        <x:v>2</x:v>
      </x:c>
      <x:c r="J98" s="45" t="n">
        <x:f>VLOOKUP($A98,'02_征信特征'!$A$5:$J$204,7,FALSE)</x:f>
        <x:v>44</x:v>
      </x:c>
      <x:c r="K98" s="45" t="n">
        <x:f>VLOOKUP($A98,'02_征信特征'!$A$5:$J$204,8,FALSE)</x:f>
        <x:v>8</x:v>
      </x:c>
      <x:c r="L98" s="42" t="str">
        <x:f>VLOOKUP($A98,'02_征信特征'!$A$5:$J$204,9,FALSE)</x:f>
        <x:v>N</x:v>
      </x:c>
      <x:c r="M98" s="42" t="str">
        <x:f>VLOOKUP($A98,'03_决策日志'!$A$5:$G$204,4,FALSE)</x:f>
        <x:v>REVIEW</x:v>
      </x:c>
      <x:c r="N98" s="42" t="str">
        <x:f>IFERROR(VLOOKUP($A98,'04_人工审核'!$A$5:$H$57,6,FALSE),"NOT_REQUIRED")</x:f>
        <x:v>APPROVE</x:v>
      </x:c>
      <x:c r="O98" s="42" t="str">
        <x:f>IFERROR(VLOOKUP($A98,'05_贷后表现'!$A$5:$J$137,2,FALSE),"N")</x:f>
        <x:v>Y</x:v>
      </x:c>
      <x:c r="P98" s="42" t="str">
        <x:f>IFERROR(VLOOKUP($A98,'05_贷后表现'!$A$5:$J$137,6,FALSE),"")</x:f>
        <x:v>N</x:v>
      </x:c>
      <x:c r="Q98" s="42" t="str">
        <x:f>IFERROR(VLOOKUP($A98,'05_贷后表现'!$A$5:$J$137,7,FALSE),"")</x:f>
        <x:v>N</x:v>
      </x:c>
      <x:c r="R98" s="45" t="n">
        <x:f>IFERROR(VLOOKUP($A98,'05_贷后表现'!$A$5:$J$137,8,FALSE),"")</x:f>
        <x:v>10</x:v>
      </x:c>
      <x:c r="S98" s="35" t="str">
        <x:f>IF(F98&lt;500,"REJECT",IF(OR(I98&gt;=2,J98&gt;60),"REJECT",IF(F98&lt;560,"REVIEW",IF(G98="","REVIEW",IF(AND(L98&lt;&gt;"Y",G98&gt;0.7),"REVIEW","PASS")))))</x:f>
        <x:v>REJECT</x:v>
      </x:c>
      <x:c r="T98" s="35" t="str">
        <x:f>M98&amp;"→"&amp;S98</x:f>
        <x:v>REVIEW→REJECT</x:v>
      </x:c>
    </x:row>
    <x:row r="99">
      <x:c r="A99" s="42" t="str">
        <x:v>APP2025000095</x:v>
      </x:c>
      <x:c r="B99" s="43" t="n">
        <x:f>VLOOKUP($A99,'01_申请数据'!$A$5:$L$204,3,FALSE)</x:f>
        <x:v>45661.645833333336</x:v>
      </x:c>
      <x:c r="C99" s="44" t="n">
        <x:f>VLOOKUP($A99,'01_申请数据'!$A$5:$L$204,5,FALSE)</x:f>
        <x:v>10000</x:v>
      </x:c>
      <x:c r="D99" s="45" t="n">
        <x:f>VLOOKUP($A99,'01_申请数据'!$A$5:$L$204,6,FALSE)</x:f>
        <x:v>24</x:v>
      </x:c>
      <x:c r="E99" s="44" t="n">
        <x:f>VLOOKUP($A99,'01_申请数据'!$A$5:$L$204,10,FALSE)</x:f>
        <x:v>7400</x:v>
      </x:c>
      <x:c r="F99" s="45" t="n">
        <x:f>VLOOKUP($A99,'02_征信特征'!$A$5:$J$204,3,FALSE)</x:f>
        <x:v>622</x:v>
      </x:c>
      <x:c r="G99" s="46" t="n">
        <x:f>VLOOKUP($A99,'02_征信特征'!$A$5:$J$204,4,FALSE)</x:f>
        <x:v>0.858</x:v>
      </x:c>
      <x:c r="H99" s="45" t="n">
        <x:f>VLOOKUP($A99,'02_征信特征'!$A$5:$J$204,5,FALSE)</x:f>
        <x:v>1</x:v>
      </x:c>
      <x:c r="I99" s="45" t="n">
        <x:f>VLOOKUP($A99,'02_征信特征'!$A$5:$J$204,6,FALSE)</x:f>
        <x:v>0</x:v>
      </x:c>
      <x:c r="J99" s="45" t="n">
        <x:f>VLOOKUP($A99,'02_征信特征'!$A$5:$J$204,7,FALSE)</x:f>
        <x:v>0</x:v>
      </x:c>
      <x:c r="K99" s="45" t="n">
        <x:f>VLOOKUP($A99,'02_征信特征'!$A$5:$J$204,8,FALSE)</x:f>
        <x:v>5</x:v>
      </x:c>
      <x:c r="L99" s="42" t="str">
        <x:f>VLOOKUP($A99,'02_征信特征'!$A$5:$J$204,9,FALSE)</x:f>
        <x:v>N</x:v>
      </x:c>
      <x:c r="M99" s="42" t="str">
        <x:f>VLOOKUP($A99,'03_决策日志'!$A$5:$G$204,4,FALSE)</x:f>
        <x:v>REVIEW</x:v>
      </x:c>
      <x:c r="N99" s="42" t="str">
        <x:f>IFERROR(VLOOKUP($A99,'04_人工审核'!$A$5:$H$57,6,FALSE),"NOT_REQUIRED")</x:f>
        <x:v>APPROVE</x:v>
      </x:c>
      <x:c r="O99" s="42" t="str">
        <x:f>IFERROR(VLOOKUP($A99,'05_贷后表现'!$A$5:$J$137,2,FALSE),"N")</x:f>
        <x:v>Y</x:v>
      </x:c>
      <x:c r="P99" s="42" t="str">
        <x:f>IFERROR(VLOOKUP($A99,'05_贷后表现'!$A$5:$J$137,6,FALSE),"")</x:f>
        <x:v>N</x:v>
      </x:c>
      <x:c r="Q99" s="42" t="str">
        <x:f>IFERROR(VLOOKUP($A99,'05_贷后表现'!$A$5:$J$137,7,FALSE),"")</x:f>
        <x:v>N</x:v>
      </x:c>
      <x:c r="R99" s="45" t="n">
        <x:f>IFERROR(VLOOKUP($A99,'05_贷后表现'!$A$5:$J$137,8,FALSE),"")</x:f>
        <x:v>6</x:v>
      </x:c>
      <x:c r="S99" s="35" t="str">
        <x:f>IF(F99&lt;500,"REJECT",IF(OR(I99&gt;=2,J99&gt;60),"REJECT",IF(F99&lt;560,"REVIEW",IF(G99="","REVIEW",IF(AND(L99&lt;&gt;"Y",G99&gt;0.7),"REVIEW","PASS")))))</x:f>
        <x:v>REVIEW</x:v>
      </x:c>
      <x:c r="T99" s="35" t="str">
        <x:f>M99&amp;"→"&amp;S99</x:f>
        <x:v>REVIEW→REVIEW</x:v>
      </x:c>
    </x:row>
    <x:row r="100">
      <x:c r="A100" s="42" t="str">
        <x:v>APP2025000096</x:v>
      </x:c>
      <x:c r="B100" s="43" t="n">
        <x:f>VLOOKUP($A100,'01_申请数据'!$A$5:$L$204,3,FALSE)</x:f>
        <x:v>45827.49652777778</x:v>
      </x:c>
      <x:c r="C100" s="44" t="n">
        <x:f>VLOOKUP($A100,'01_申请数据'!$A$5:$L$204,5,FALSE)</x:f>
        <x:v>68000</x:v>
      </x:c>
      <x:c r="D100" s="45" t="n">
        <x:f>VLOOKUP($A100,'01_申请数据'!$A$5:$L$204,6,FALSE)</x:f>
        <x:v>24</x:v>
      </x:c>
      <x:c r="E100" s="44" t="n">
        <x:f>VLOOKUP($A100,'01_申请数据'!$A$5:$L$204,10,FALSE)</x:f>
        <x:v>11700</x:v>
      </x:c>
      <x:c r="F100" s="45" t="n">
        <x:f>VLOOKUP($A100,'02_征信特征'!$A$5:$J$204,3,FALSE)</x:f>
        <x:v>694</x:v>
      </x:c>
      <x:c r="G100" s="46" t="n">
        <x:f>VLOOKUP($A100,'02_征信特征'!$A$5:$J$204,4,FALSE)</x:f>
        <x:v>0.71</x:v>
      </x:c>
      <x:c r="H100" s="45" t="n">
        <x:f>VLOOKUP($A100,'02_征信特征'!$A$5:$J$204,5,FALSE)</x:f>
        <x:v>2</x:v>
      </x:c>
      <x:c r="I100" s="45" t="n">
        <x:f>VLOOKUP($A100,'02_征信特征'!$A$5:$J$204,6,FALSE)</x:f>
        <x:v>0</x:v>
      </x:c>
      <x:c r="J100" s="45" t="n">
        <x:f>VLOOKUP($A100,'02_征信特征'!$A$5:$J$204,7,FALSE)</x:f>
        <x:v>0</x:v>
      </x:c>
      <x:c r="K100" s="45" t="n">
        <x:f>VLOOKUP($A100,'02_征信特征'!$A$5:$J$204,8,FALSE)</x:f>
        <x:v>11</x:v>
      </x:c>
      <x:c r="L100" s="42" t="str">
        <x:f>VLOOKUP($A100,'02_征信特征'!$A$5:$J$204,9,FALSE)</x:f>
        <x:v>N</x:v>
      </x:c>
      <x:c r="M100" s="42" t="str">
        <x:f>VLOOKUP($A100,'03_决策日志'!$A$5:$G$204,4,FALSE)</x:f>
        <x:v>PASS</x:v>
      </x:c>
      <x:c r="N100" s="42" t="str">
        <x:f>IFERROR(VLOOKUP($A100,'04_人工审核'!$A$5:$H$57,6,FALSE),"NOT_REQUIRED")</x:f>
        <x:v>NOT_REQUIRED</x:v>
      </x:c>
      <x:c r="O100" s="42" t="str">
        <x:f>IFERROR(VLOOKUP($A100,'05_贷后表现'!$A$5:$J$137,2,FALSE),"N")</x:f>
        <x:v>Y</x:v>
      </x:c>
      <x:c r="P100" s="42" t="str">
        <x:f>IFERROR(VLOOKUP($A100,'05_贷后表现'!$A$5:$J$137,6,FALSE),"")</x:f>
        <x:v>N</x:v>
      </x:c>
      <x:c r="Q100" s="42" t="str">
        <x:f>IFERROR(VLOOKUP($A100,'05_贷后表现'!$A$5:$J$137,7,FALSE),"")</x:f>
        <x:v>N</x:v>
      </x:c>
      <x:c r="R100" s="45" t="n">
        <x:f>IFERROR(VLOOKUP($A100,'05_贷后表现'!$A$5:$J$137,8,FALSE),"")</x:f>
        <x:v>8</x:v>
      </x:c>
      <x:c r="S100" s="35" t="str">
        <x:f>IF(F100&lt;500,"REJECT",IF(OR(I100&gt;=2,J100&gt;60),"REJECT",IF(F100&lt;560,"REVIEW",IF(G100="","REVIEW",IF(AND(L100&lt;&gt;"Y",G100&gt;0.7),"REVIEW","PASS")))))</x:f>
        <x:v>REVIEW</x:v>
      </x:c>
      <x:c r="T100" s="35" t="str">
        <x:f>M100&amp;"→"&amp;S100</x:f>
        <x:v>PASS→REVIEW</x:v>
      </x:c>
    </x:row>
    <x:row r="101">
      <x:c r="A101" s="42" t="str">
        <x:v>APP2025000097</x:v>
      </x:c>
      <x:c r="B101" s="43" t="n">
        <x:f>VLOOKUP($A101,'01_申请数据'!$A$5:$L$204,3,FALSE)</x:f>
        <x:v>45677.745833333334</x:v>
      </x:c>
      <x:c r="C101" s="44" t="n">
        <x:f>VLOOKUP($A101,'01_申请数据'!$A$5:$L$204,5,FALSE)</x:f>
        <x:v>47000</x:v>
      </x:c>
      <x:c r="D101" s="45" t="n">
        <x:f>VLOOKUP($A101,'01_申请数据'!$A$5:$L$204,6,FALSE)</x:f>
        <x:v>6</x:v>
      </x:c>
      <x:c r="E101" s="44" t="n">
        <x:f>VLOOKUP($A101,'01_申请数据'!$A$5:$L$204,10,FALSE)</x:f>
        <x:v>14200</x:v>
      </x:c>
      <x:c r="F101" s="45" t="n">
        <x:f>VLOOKUP($A101,'02_征信特征'!$A$5:$J$204,3,FALSE)</x:f>
        <x:v>645</x:v>
      </x:c>
      <x:c r="G101" s="46" t="str">
        <x:f>VLOOKUP($A101,'02_征信特征'!$A$5:$J$204,4,FALSE)</x:f>
      </x:c>
      <x:c r="H101" s="45" t="n">
        <x:f>VLOOKUP($A101,'02_征信特征'!$A$5:$J$204,5,FALSE)</x:f>
        <x:v>2</x:v>
      </x:c>
      <x:c r="I101" s="45" t="n">
        <x:f>VLOOKUP($A101,'02_征信特征'!$A$5:$J$204,6,FALSE)</x:f>
        <x:v>0</x:v>
      </x:c>
      <x:c r="J101" s="45" t="n">
        <x:f>VLOOKUP($A101,'02_征信特征'!$A$5:$J$204,7,FALSE)</x:f>
        <x:v>0</x:v>
      </x:c>
      <x:c r="K101" s="45" t="n">
        <x:f>VLOOKUP($A101,'02_征信特征'!$A$5:$J$204,8,FALSE)</x:f>
        <x:v>3</x:v>
      </x:c>
      <x:c r="L101" s="42" t="str">
        <x:f>VLOOKUP($A101,'02_征信特征'!$A$5:$J$204,9,FALSE)</x:f>
        <x:v>N</x:v>
      </x:c>
      <x:c r="M101" s="42" t="str">
        <x:f>VLOOKUP($A101,'03_决策日志'!$A$5:$G$204,4,FALSE)</x:f>
        <x:v>REVIEW</x:v>
      </x:c>
      <x:c r="N101" s="42" t="str">
        <x:f>IFERROR(VLOOKUP($A101,'04_人工审核'!$A$5:$H$57,6,FALSE),"NOT_REQUIRED")</x:f>
        <x:v>APPROVE</x:v>
      </x:c>
      <x:c r="O101" s="42" t="str">
        <x:f>IFERROR(VLOOKUP($A101,'05_贷后表现'!$A$5:$J$137,2,FALSE),"N")</x:f>
        <x:v>N</x:v>
      </x:c>
      <x:c r="P101" s="42" t="str">
        <x:f>IFERROR(VLOOKUP($A101,'05_贷后表现'!$A$5:$J$137,6,FALSE),"")</x:f>
      </x:c>
      <x:c r="Q101" s="42" t="str">
        <x:f>IFERROR(VLOOKUP($A101,'05_贷后表现'!$A$5:$J$137,7,FALSE),"")</x:f>
      </x:c>
      <x:c r="R101" s="45" t="str">
        <x:f>IFERROR(VLOOKUP($A101,'05_贷后表现'!$A$5:$J$137,8,FALSE),"")</x:f>
      </x:c>
      <x:c r="S101" s="35" t="str">
        <x:f>IF(F101&lt;500,"REJECT",IF(OR(I101&gt;=2,J101&gt;60),"REJECT",IF(F101&lt;560,"REVIEW",IF(G101="","REVIEW",IF(AND(L101&lt;&gt;"Y",G101&gt;0.7),"REVIEW","PASS")))))</x:f>
        <x:v>REVIEW</x:v>
      </x:c>
      <x:c r="T101" s="35" t="str">
        <x:f>M101&amp;"→"&amp;S101</x:f>
        <x:v>REVIEW→REVIEW</x:v>
      </x:c>
    </x:row>
    <x:row r="102">
      <x:c r="A102" s="42" t="str">
        <x:v>APP2025000098</x:v>
      </x:c>
      <x:c r="B102" s="43" t="n">
        <x:f>VLOOKUP($A102,'01_申请数据'!$A$5:$L$204,3,FALSE)</x:f>
        <x:v>45710.58472222222</x:v>
      </x:c>
      <x:c r="C102" s="44" t="n">
        <x:f>VLOOKUP($A102,'01_申请数据'!$A$5:$L$204,5,FALSE)</x:f>
        <x:v>62000</x:v>
      </x:c>
      <x:c r="D102" s="45" t="n">
        <x:f>VLOOKUP($A102,'01_申请数据'!$A$5:$L$204,6,FALSE)</x:f>
        <x:v>36</x:v>
      </x:c>
      <x:c r="E102" s="44" t="n">
        <x:f>VLOOKUP($A102,'01_申请数据'!$A$5:$L$204,10,FALSE)</x:f>
        <x:v>28100</x:v>
      </x:c>
      <x:c r="F102" s="45" t="n">
        <x:f>VLOOKUP($A102,'02_征信特征'!$A$5:$J$204,3,FALSE)</x:f>
        <x:v>558</x:v>
      </x:c>
      <x:c r="G102" s="46" t="n">
        <x:f>VLOOKUP($A102,'02_征信特征'!$A$5:$J$204,4,FALSE)</x:f>
        <x:v>0.8</x:v>
      </x:c>
      <x:c r="H102" s="45" t="n">
        <x:f>VLOOKUP($A102,'02_征信特征'!$A$5:$J$204,5,FALSE)</x:f>
        <x:v>5</x:v>
      </x:c>
      <x:c r="I102" s="45" t="n">
        <x:f>VLOOKUP($A102,'02_征信特征'!$A$5:$J$204,6,FALSE)</x:f>
        <x:v>1</x:v>
      </x:c>
      <x:c r="J102" s="45" t="n">
        <x:f>VLOOKUP($A102,'02_征信特征'!$A$5:$J$204,7,FALSE)</x:f>
        <x:v>78</x:v>
      </x:c>
      <x:c r="K102" s="45" t="n">
        <x:f>VLOOKUP($A102,'02_征信特征'!$A$5:$J$204,8,FALSE)</x:f>
        <x:v>7</x:v>
      </x:c>
      <x:c r="L102" s="42" t="str">
        <x:f>VLOOKUP($A102,'02_征信特征'!$A$5:$J$204,9,FALSE)</x:f>
        <x:v>N</x:v>
      </x:c>
      <x:c r="M102" s="42" t="str">
        <x:f>VLOOKUP($A102,'03_决策日志'!$A$5:$G$204,4,FALSE)</x:f>
        <x:v>REVIEW</x:v>
      </x:c>
      <x:c r="N102" s="42" t="str">
        <x:f>IFERROR(VLOOKUP($A102,'04_人工审核'!$A$5:$H$57,6,FALSE),"NOT_REQUIRED")</x:f>
        <x:v>DECLINE</x:v>
      </x:c>
      <x:c r="O102" s="42" t="str">
        <x:f>IFERROR(VLOOKUP($A102,'05_贷后表现'!$A$5:$J$137,2,FALSE),"N")</x:f>
        <x:v>N</x:v>
      </x:c>
      <x:c r="P102" s="42" t="str">
        <x:f>IFERROR(VLOOKUP($A102,'05_贷后表现'!$A$5:$J$137,6,FALSE),"")</x:f>
      </x:c>
      <x:c r="Q102" s="42" t="str">
        <x:f>IFERROR(VLOOKUP($A102,'05_贷后表现'!$A$5:$J$137,7,FALSE),"")</x:f>
      </x:c>
      <x:c r="R102" s="45" t="str">
        <x:f>IFERROR(VLOOKUP($A102,'05_贷后表现'!$A$5:$J$137,8,FALSE),"")</x:f>
      </x:c>
      <x:c r="S102" s="35" t="str">
        <x:f>IF(F102&lt;500,"REJECT",IF(OR(I102&gt;=2,J102&gt;60),"REJECT",IF(F102&lt;560,"REVIEW",IF(G102="","REVIEW",IF(AND(L102&lt;&gt;"Y",G102&gt;0.7),"REVIEW","PASS")))))</x:f>
        <x:v>REJECT</x:v>
      </x:c>
      <x:c r="T102" s="35" t="str">
        <x:f>M102&amp;"→"&amp;S102</x:f>
        <x:v>REVIEW→REJECT</x:v>
      </x:c>
    </x:row>
    <x:row r="103">
      <x:c r="A103" s="42" t="str">
        <x:v>APP2025000099</x:v>
      </x:c>
      <x:c r="B103" s="43" t="n">
        <x:f>VLOOKUP($A103,'01_申请数据'!$A$5:$L$204,3,FALSE)</x:f>
        <x:v>45792.56458333333</x:v>
      </x:c>
      <x:c r="C103" s="44" t="n">
        <x:f>VLOOKUP($A103,'01_申请数据'!$A$5:$L$204,5,FALSE)</x:f>
        <x:v>67000</x:v>
      </x:c>
      <x:c r="D103" s="45" t="n">
        <x:f>VLOOKUP($A103,'01_申请数据'!$A$5:$L$204,6,FALSE)</x:f>
        <x:v>18</x:v>
      </x:c>
      <x:c r="E103" s="44" t="n">
        <x:f>VLOOKUP($A103,'01_申请数据'!$A$5:$L$204,10,FALSE)</x:f>
        <x:v>25200</x:v>
      </x:c>
      <x:c r="F103" s="45" t="n">
        <x:f>VLOOKUP($A103,'02_征信特征'!$A$5:$J$204,3,FALSE)</x:f>
        <x:v>671</x:v>
      </x:c>
      <x:c r="G103" s="46" t="n">
        <x:f>VLOOKUP($A103,'02_征信特征'!$A$5:$J$204,4,FALSE)</x:f>
        <x:v>0.743</x:v>
      </x:c>
      <x:c r="H103" s="45" t="n">
        <x:f>VLOOKUP($A103,'02_征信特征'!$A$5:$J$204,5,FALSE)</x:f>
        <x:v>0</x:v>
      </x:c>
      <x:c r="I103" s="45" t="n">
        <x:f>VLOOKUP($A103,'02_征信特征'!$A$5:$J$204,6,FALSE)</x:f>
        <x:v>0</x:v>
      </x:c>
      <x:c r="J103" s="45" t="n">
        <x:f>VLOOKUP($A103,'02_征信特征'!$A$5:$J$204,7,FALSE)</x:f>
        <x:v>0</x:v>
      </x:c>
      <x:c r="K103" s="45" t="n">
        <x:f>VLOOKUP($A103,'02_征信特征'!$A$5:$J$204,8,FALSE)</x:f>
        <x:v>0</x:v>
      </x:c>
      <x:c r="L103" s="42" t="str">
        <x:f>VLOOKUP($A103,'02_征信特征'!$A$5:$J$204,9,FALSE)</x:f>
        <x:v>Y</x:v>
      </x:c>
      <x:c r="M103" s="42" t="str">
        <x:f>VLOOKUP($A103,'03_决策日志'!$A$5:$G$204,4,FALSE)</x:f>
        <x:v>PASS</x:v>
      </x:c>
      <x:c r="N103" s="42" t="str">
        <x:f>IFERROR(VLOOKUP($A103,'04_人工审核'!$A$5:$H$57,6,FALSE),"NOT_REQUIRED")</x:f>
        <x:v>NOT_REQUIRED</x:v>
      </x:c>
      <x:c r="O103" s="42" t="str">
        <x:f>IFERROR(VLOOKUP($A103,'05_贷后表现'!$A$5:$J$137,2,FALSE),"N")</x:f>
        <x:v>Y</x:v>
      </x:c>
      <x:c r="P103" s="42" t="str">
        <x:f>IFERROR(VLOOKUP($A103,'05_贷后表现'!$A$5:$J$137,6,FALSE),"")</x:f>
        <x:v>N</x:v>
      </x:c>
      <x:c r="Q103" s="42" t="str">
        <x:f>IFERROR(VLOOKUP($A103,'05_贷后表现'!$A$5:$J$137,7,FALSE),"")</x:f>
        <x:v>N</x:v>
      </x:c>
      <x:c r="R103" s="45" t="n">
        <x:f>IFERROR(VLOOKUP($A103,'05_贷后表现'!$A$5:$J$137,8,FALSE),"")</x:f>
        <x:v>9</x:v>
      </x:c>
      <x:c r="S103" s="35" t="str">
        <x:f>IF(F103&lt;500,"REJECT",IF(OR(I103&gt;=2,J103&gt;60),"REJECT",IF(F103&lt;560,"REVIEW",IF(G103="","REVIEW",IF(AND(L103&lt;&gt;"Y",G103&gt;0.7),"REVIEW","PASS")))))</x:f>
        <x:v>PASS</x:v>
      </x:c>
      <x:c r="T103" s="35" t="str">
        <x:f>M103&amp;"→"&amp;S103</x:f>
        <x:v>PASS→PASS</x:v>
      </x:c>
    </x:row>
    <x:row r="104">
      <x:c r="A104" s="42" t="str">
        <x:v>APP2025000100</x:v>
      </x:c>
      <x:c r="B104" s="43" t="n">
        <x:f>VLOOKUP($A104,'01_申请数据'!$A$5:$L$204,3,FALSE)</x:f>
        <x:v>45683.73819444444</x:v>
      </x:c>
      <x:c r="C104" s="44" t="n">
        <x:f>VLOOKUP($A104,'01_申请数据'!$A$5:$L$204,5,FALSE)</x:f>
        <x:v>63000</x:v>
      </x:c>
      <x:c r="D104" s="45" t="n">
        <x:f>VLOOKUP($A104,'01_申请数据'!$A$5:$L$204,6,FALSE)</x:f>
        <x:v>6</x:v>
      </x:c>
      <x:c r="E104" s="44" t="n">
        <x:f>VLOOKUP($A104,'01_申请数据'!$A$5:$L$204,10,FALSE)</x:f>
        <x:v>15100</x:v>
      </x:c>
      <x:c r="F104" s="45" t="n">
        <x:f>VLOOKUP($A104,'02_征信特征'!$A$5:$J$204,3,FALSE)</x:f>
        <x:v>430</x:v>
      </x:c>
      <x:c r="G104" s="46" t="n">
        <x:f>VLOOKUP($A104,'02_征信特征'!$A$5:$J$204,4,FALSE)</x:f>
        <x:v>0.954</x:v>
      </x:c>
      <x:c r="H104" s="45" t="n">
        <x:f>VLOOKUP($A104,'02_征信特征'!$A$5:$J$204,5,FALSE)</x:f>
        <x:v>1</x:v>
      </x:c>
      <x:c r="I104" s="45" t="n">
        <x:f>VLOOKUP($A104,'02_征信特征'!$A$5:$J$204,6,FALSE)</x:f>
        <x:v>5</x:v>
      </x:c>
      <x:c r="J104" s="45" t="n">
        <x:f>VLOOKUP($A104,'02_征信特征'!$A$5:$J$204,7,FALSE)</x:f>
        <x:v>78</x:v>
      </x:c>
      <x:c r="K104" s="45" t="n">
        <x:f>VLOOKUP($A104,'02_征信特征'!$A$5:$J$204,8,FALSE)</x:f>
        <x:v>8</x:v>
      </x:c>
      <x:c r="L104" s="42" t="str">
        <x:f>VLOOKUP($A104,'02_征信特征'!$A$5:$J$204,9,FALSE)</x:f>
        <x:v>N</x:v>
      </x:c>
      <x:c r="M104" s="42" t="str">
        <x:f>VLOOKUP($A104,'03_决策日志'!$A$5:$G$204,4,FALSE)</x:f>
        <x:v>REJECT</x:v>
      </x:c>
      <x:c r="N104" s="42" t="str">
        <x:f>IFERROR(VLOOKUP($A104,'04_人工审核'!$A$5:$H$57,6,FALSE),"NOT_REQUIRED")</x:f>
        <x:v>NOT_REQUIRED</x:v>
      </x:c>
      <x:c r="O104" s="42" t="str">
        <x:f>IFERROR(VLOOKUP($A104,'05_贷后表现'!$A$5:$J$137,2,FALSE),"N")</x:f>
        <x:v>N</x:v>
      </x:c>
      <x:c r="P104" s="42" t="str">
        <x:f>IFERROR(VLOOKUP($A104,'05_贷后表现'!$A$5:$J$137,6,FALSE),"")</x:f>
      </x:c>
      <x:c r="Q104" s="42" t="str">
        <x:f>IFERROR(VLOOKUP($A104,'05_贷后表现'!$A$5:$J$137,7,FALSE),"")</x:f>
      </x:c>
      <x:c r="R104" s="45" t="str">
        <x:f>IFERROR(VLOOKUP($A104,'05_贷后表现'!$A$5:$J$137,8,FALSE),"")</x:f>
      </x:c>
      <x:c r="S104" s="35" t="str">
        <x:f>IF(F104&lt;500,"REJECT",IF(OR(I104&gt;=2,J104&gt;60),"REJECT",IF(F104&lt;560,"REVIEW",IF(G104="","REVIEW",IF(AND(L104&lt;&gt;"Y",G104&gt;0.7),"REVIEW","PASS")))))</x:f>
        <x:v>REJECT</x:v>
      </x:c>
      <x:c r="T104" s="35" t="str">
        <x:f>M104&amp;"→"&amp;S104</x:f>
        <x:v>REJECT→REJECT</x:v>
      </x:c>
    </x:row>
    <x:row r="105">
      <x:c r="A105" s="42" t="str">
        <x:v>APP2025000101</x:v>
      </x:c>
      <x:c r="B105" s="43" t="n">
        <x:f>VLOOKUP($A105,'01_申请数据'!$A$5:$L$204,3,FALSE)</x:f>
        <x:v>45830.583333333336</x:v>
      </x:c>
      <x:c r="C105" s="44" t="n">
        <x:f>VLOOKUP($A105,'01_申请数据'!$A$5:$L$204,5,FALSE)</x:f>
        <x:v>52000</x:v>
      </x:c>
      <x:c r="D105" s="45" t="n">
        <x:f>VLOOKUP($A105,'01_申请数据'!$A$5:$L$204,6,FALSE)</x:f>
        <x:v>18</x:v>
      </x:c>
      <x:c r="E105" s="44" t="n">
        <x:f>VLOOKUP($A105,'01_申请数据'!$A$5:$L$204,10,FALSE)</x:f>
        <x:v>9600</x:v>
      </x:c>
      <x:c r="F105" s="45" t="n">
        <x:f>VLOOKUP($A105,'02_征信特征'!$A$5:$J$204,3,FALSE)</x:f>
        <x:v>571</x:v>
      </x:c>
      <x:c r="G105" s="46" t="n">
        <x:f>VLOOKUP($A105,'02_征信特征'!$A$5:$J$204,4,FALSE)</x:f>
        <x:v>0.592</x:v>
      </x:c>
      <x:c r="H105" s="45" t="n">
        <x:f>VLOOKUP($A105,'02_征信特征'!$A$5:$J$204,5,FALSE)</x:f>
        <x:v>2</x:v>
      </x:c>
      <x:c r="I105" s="45" t="n">
        <x:f>VLOOKUP($A105,'02_征信特征'!$A$5:$J$204,6,FALSE)</x:f>
        <x:v>1</x:v>
      </x:c>
      <x:c r="J105" s="45" t="n">
        <x:f>VLOOKUP($A105,'02_征信特征'!$A$5:$J$204,7,FALSE)</x:f>
        <x:v>10</x:v>
      </x:c>
      <x:c r="K105" s="45" t="n">
        <x:f>VLOOKUP($A105,'02_征信特征'!$A$5:$J$204,8,FALSE)</x:f>
        <x:v>6</x:v>
      </x:c>
      <x:c r="L105" s="42" t="str">
        <x:f>VLOOKUP($A105,'02_征信特征'!$A$5:$J$204,9,FALSE)</x:f>
        <x:v>N</x:v>
      </x:c>
      <x:c r="M105" s="42" t="str">
        <x:f>VLOOKUP($A105,'03_决策日志'!$A$5:$G$204,4,FALSE)</x:f>
        <x:v>PASS</x:v>
      </x:c>
      <x:c r="N105" s="42" t="str">
        <x:f>IFERROR(VLOOKUP($A105,'04_人工审核'!$A$5:$H$57,6,FALSE),"NOT_REQUIRED")</x:f>
        <x:v>NOT_REQUIRED</x:v>
      </x:c>
      <x:c r="O105" s="42" t="str">
        <x:f>IFERROR(VLOOKUP($A105,'05_贷后表现'!$A$5:$J$137,2,FALSE),"N")</x:f>
        <x:v>Y</x:v>
      </x:c>
      <x:c r="P105" s="42" t="str">
        <x:f>IFERROR(VLOOKUP($A105,'05_贷后表现'!$A$5:$J$137,6,FALSE),"")</x:f>
        <x:v>N</x:v>
      </x:c>
      <x:c r="Q105" s="42" t="str">
        <x:f>IFERROR(VLOOKUP($A105,'05_贷后表现'!$A$5:$J$137,7,FALSE),"")</x:f>
        <x:v>N</x:v>
      </x:c>
      <x:c r="R105" s="45" t="n">
        <x:f>IFERROR(VLOOKUP($A105,'05_贷后表现'!$A$5:$J$137,8,FALSE),"")</x:f>
        <x:v>9</x:v>
      </x:c>
      <x:c r="S105" s="35" t="str">
        <x:f>IF(F105&lt;500,"REJECT",IF(OR(I105&gt;=2,J105&gt;60),"REJECT",IF(F105&lt;560,"REVIEW",IF(G105="","REVIEW",IF(AND(L105&lt;&gt;"Y",G105&gt;0.7),"REVIEW","PASS")))))</x:f>
        <x:v>PASS</x:v>
      </x:c>
      <x:c r="T105" s="35" t="str">
        <x:f>M105&amp;"→"&amp;S105</x:f>
        <x:v>PASS→PASS</x:v>
      </x:c>
    </x:row>
    <x:row r="106">
      <x:c r="A106" s="42" t="str">
        <x:v>APP2025000102</x:v>
      </x:c>
      <x:c r="B106" s="43" t="n">
        <x:f>VLOOKUP($A106,'01_申请数据'!$A$5:$L$204,3,FALSE)</x:f>
        <x:v>45778.54236111111</x:v>
      </x:c>
      <x:c r="C106" s="44" t="n">
        <x:f>VLOOKUP($A106,'01_申请数据'!$A$5:$L$204,5,FALSE)</x:f>
        <x:v>15000</x:v>
      </x:c>
      <x:c r="D106" s="45" t="n">
        <x:f>VLOOKUP($A106,'01_申请数据'!$A$5:$L$204,6,FALSE)</x:f>
        <x:v>36</x:v>
      </x:c>
      <x:c r="E106" s="44" t="n">
        <x:f>VLOOKUP($A106,'01_申请数据'!$A$5:$L$204,10,FALSE)</x:f>
        <x:v>18000</x:v>
      </x:c>
      <x:c r="F106" s="45" t="n">
        <x:f>VLOOKUP($A106,'02_征信特征'!$A$5:$J$204,3,FALSE)</x:f>
        <x:v>700</x:v>
      </x:c>
      <x:c r="G106" s="46" t="n">
        <x:f>VLOOKUP($A106,'02_征信特征'!$A$5:$J$204,4,FALSE)</x:f>
        <x:v>0.198</x:v>
      </x:c>
      <x:c r="H106" s="45" t="n">
        <x:f>VLOOKUP($A106,'02_征信特征'!$A$5:$J$204,5,FALSE)</x:f>
        <x:v>5</x:v>
      </x:c>
      <x:c r="I106" s="45" t="n">
        <x:f>VLOOKUP($A106,'02_征信特征'!$A$5:$J$204,6,FALSE)</x:f>
        <x:v>0</x:v>
      </x:c>
      <x:c r="J106" s="45" t="n">
        <x:f>VLOOKUP($A106,'02_征信特征'!$A$5:$J$204,7,FALSE)</x:f>
        <x:v>0</x:v>
      </x:c>
      <x:c r="K106" s="45" t="n">
        <x:f>VLOOKUP($A106,'02_征信特征'!$A$5:$J$204,8,FALSE)</x:f>
        <x:v>6</x:v>
      </x:c>
      <x:c r="L106" s="42" t="str">
        <x:f>VLOOKUP($A106,'02_征信特征'!$A$5:$J$204,9,FALSE)</x:f>
        <x:v>N</x:v>
      </x:c>
      <x:c r="M106" s="42" t="str">
        <x:f>VLOOKUP($A106,'03_决策日志'!$A$5:$G$204,4,FALSE)</x:f>
        <x:v>PASS</x:v>
      </x:c>
      <x:c r="N106" s="42" t="str">
        <x:f>IFERROR(VLOOKUP($A106,'04_人工审核'!$A$5:$H$57,6,FALSE),"NOT_REQUIRED")</x:f>
        <x:v>NOT_REQUIRED</x:v>
      </x:c>
      <x:c r="O106" s="42" t="str">
        <x:f>IFERROR(VLOOKUP($A106,'05_贷后表现'!$A$5:$J$137,2,FALSE),"N")</x:f>
        <x:v>Y</x:v>
      </x:c>
      <x:c r="P106" s="42" t="str">
        <x:f>IFERROR(VLOOKUP($A106,'05_贷后表现'!$A$5:$J$137,6,FALSE),"")</x:f>
        <x:v>N</x:v>
      </x:c>
      <x:c r="Q106" s="42" t="str">
        <x:f>IFERROR(VLOOKUP($A106,'05_贷后表现'!$A$5:$J$137,7,FALSE),"")</x:f>
        <x:v>N</x:v>
      </x:c>
      <x:c r="R106" s="45" t="n">
        <x:f>IFERROR(VLOOKUP($A106,'05_贷后表现'!$A$5:$J$137,8,FALSE),"")</x:f>
        <x:v>11</x:v>
      </x:c>
      <x:c r="S106" s="35" t="str">
        <x:f>IF(F106&lt;500,"REJECT",IF(OR(I106&gt;=2,J106&gt;60),"REJECT",IF(F106&lt;560,"REVIEW",IF(G106="","REVIEW",IF(AND(L106&lt;&gt;"Y",G106&gt;0.7),"REVIEW","PASS")))))</x:f>
        <x:v>PASS</x:v>
      </x:c>
      <x:c r="T106" s="35" t="str">
        <x:f>M106&amp;"→"&amp;S106</x:f>
        <x:v>PASS→PASS</x:v>
      </x:c>
    </x:row>
    <x:row r="107">
      <x:c r="A107" s="42" t="str">
        <x:v>APP2025000103</x:v>
      </x:c>
      <x:c r="B107" s="43" t="n">
        <x:f>VLOOKUP($A107,'01_申请数据'!$A$5:$L$204,3,FALSE)</x:f>
        <x:v>45731.66805555556</x:v>
      </x:c>
      <x:c r="C107" s="44" t="n">
        <x:f>VLOOKUP($A107,'01_申请数据'!$A$5:$L$204,5,FALSE)</x:f>
        <x:v>112000</x:v>
      </x:c>
      <x:c r="D107" s="45" t="n">
        <x:f>VLOOKUP($A107,'01_申请数据'!$A$5:$L$204,6,FALSE)</x:f>
        <x:v>12</x:v>
      </x:c>
      <x:c r="E107" s="44" t="n">
        <x:f>VLOOKUP($A107,'01_申请数据'!$A$5:$L$204,10,FALSE)</x:f>
        <x:v>28100</x:v>
      </x:c>
      <x:c r="F107" s="45" t="n">
        <x:f>VLOOKUP($A107,'02_征信特征'!$A$5:$J$204,3,FALSE)</x:f>
        <x:v>634</x:v>
      </x:c>
      <x:c r="G107" s="46" t="n">
        <x:f>VLOOKUP($A107,'02_征信特征'!$A$5:$J$204,4,FALSE)</x:f>
        <x:v>0.511</x:v>
      </x:c>
      <x:c r="H107" s="45" t="n">
        <x:f>VLOOKUP($A107,'02_征信特征'!$A$5:$J$204,5,FALSE)</x:f>
        <x:v>5</x:v>
      </x:c>
      <x:c r="I107" s="45" t="n">
        <x:f>VLOOKUP($A107,'02_征信特征'!$A$5:$J$204,6,FALSE)</x:f>
        <x:v>0</x:v>
      </x:c>
      <x:c r="J107" s="45" t="n">
        <x:f>VLOOKUP($A107,'02_征信特征'!$A$5:$J$204,7,FALSE)</x:f>
        <x:v>0</x:v>
      </x:c>
      <x:c r="K107" s="45" t="n">
        <x:f>VLOOKUP($A107,'02_征信特征'!$A$5:$J$204,8,FALSE)</x:f>
        <x:v>7</x:v>
      </x:c>
      <x:c r="L107" s="42" t="str">
        <x:f>VLOOKUP($A107,'02_征信特征'!$A$5:$J$204,9,FALSE)</x:f>
        <x:v>N</x:v>
      </x:c>
      <x:c r="M107" s="42" t="str">
        <x:f>VLOOKUP($A107,'03_决策日志'!$A$5:$G$204,4,FALSE)</x:f>
        <x:v>PASS</x:v>
      </x:c>
      <x:c r="N107" s="42" t="str">
        <x:f>IFERROR(VLOOKUP($A107,'04_人工审核'!$A$5:$H$57,6,FALSE),"NOT_REQUIRED")</x:f>
        <x:v>NOT_REQUIRED</x:v>
      </x:c>
      <x:c r="O107" s="42" t="str">
        <x:f>IFERROR(VLOOKUP($A107,'05_贷后表现'!$A$5:$J$137,2,FALSE),"N")</x:f>
        <x:v>Y</x:v>
      </x:c>
      <x:c r="P107" s="42" t="str">
        <x:f>IFERROR(VLOOKUP($A107,'05_贷后表现'!$A$5:$J$137,6,FALSE),"")</x:f>
        <x:v>N</x:v>
      </x:c>
      <x:c r="Q107" s="42" t="str">
        <x:f>IFERROR(VLOOKUP($A107,'05_贷后表现'!$A$5:$J$137,7,FALSE),"")</x:f>
        <x:v>N</x:v>
      </x:c>
      <x:c r="R107" s="45" t="n">
        <x:f>IFERROR(VLOOKUP($A107,'05_贷后表现'!$A$5:$J$137,8,FALSE),"")</x:f>
        <x:v>13</x:v>
      </x:c>
      <x:c r="S107" s="35" t="str">
        <x:f>IF(F107&lt;500,"REJECT",IF(OR(I107&gt;=2,J107&gt;60),"REJECT",IF(F107&lt;560,"REVIEW",IF(G107="","REVIEW",IF(AND(L107&lt;&gt;"Y",G107&gt;0.7),"REVIEW","PASS")))))</x:f>
        <x:v>PASS</x:v>
      </x:c>
      <x:c r="T107" s="35" t="str">
        <x:f>M107&amp;"→"&amp;S107</x:f>
        <x:v>PASS→PASS</x:v>
      </x:c>
    </x:row>
    <x:row r="108">
      <x:c r="A108" s="42" t="str">
        <x:v>APP2025000104</x:v>
      </x:c>
      <x:c r="B108" s="43" t="n">
        <x:f>VLOOKUP($A108,'01_申请数据'!$A$5:$L$204,3,FALSE)</x:f>
        <x:v>45838.665972222225</x:v>
      </x:c>
      <x:c r="C108" s="44" t="n">
        <x:f>VLOOKUP($A108,'01_申请数据'!$A$5:$L$204,5,FALSE)</x:f>
        <x:v>73000</x:v>
      </x:c>
      <x:c r="D108" s="45" t="n">
        <x:f>VLOOKUP($A108,'01_申请数据'!$A$5:$L$204,6,FALSE)</x:f>
        <x:v>36</x:v>
      </x:c>
      <x:c r="E108" s="44" t="n">
        <x:f>VLOOKUP($A108,'01_申请数据'!$A$5:$L$204,10,FALSE)</x:f>
        <x:v>16200</x:v>
      </x:c>
      <x:c r="F108" s="45" t="n">
        <x:f>VLOOKUP($A108,'02_征信特征'!$A$5:$J$204,3,FALSE)</x:f>
        <x:v>699</x:v>
      </x:c>
      <x:c r="G108" s="46" t="n">
        <x:f>VLOOKUP($A108,'02_征信特征'!$A$5:$J$204,4,FALSE)</x:f>
        <x:v>0.341</x:v>
      </x:c>
      <x:c r="H108" s="45" t="n">
        <x:f>VLOOKUP($A108,'02_征信特征'!$A$5:$J$204,5,FALSE)</x:f>
        <x:v>5</x:v>
      </x:c>
      <x:c r="I108" s="45" t="n">
        <x:f>VLOOKUP($A108,'02_征信特征'!$A$5:$J$204,6,FALSE)</x:f>
        <x:v>0</x:v>
      </x:c>
      <x:c r="J108" s="45" t="n">
        <x:f>VLOOKUP($A108,'02_征信特征'!$A$5:$J$204,7,FALSE)</x:f>
        <x:v>0</x:v>
      </x:c>
      <x:c r="K108" s="45" t="n">
        <x:f>VLOOKUP($A108,'02_征信特征'!$A$5:$J$204,8,FALSE)</x:f>
        <x:v>5</x:v>
      </x:c>
      <x:c r="L108" s="42" t="str">
        <x:f>VLOOKUP($A108,'02_征信特征'!$A$5:$J$204,9,FALSE)</x:f>
        <x:v>N</x:v>
      </x:c>
      <x:c r="M108" s="42" t="str">
        <x:f>VLOOKUP($A108,'03_决策日志'!$A$5:$G$204,4,FALSE)</x:f>
        <x:v>PASS</x:v>
      </x:c>
      <x:c r="N108" s="42" t="str">
        <x:f>IFERROR(VLOOKUP($A108,'04_人工审核'!$A$5:$H$57,6,FALSE),"NOT_REQUIRED")</x:f>
        <x:v>NOT_REQUIRED</x:v>
      </x:c>
      <x:c r="O108" s="42" t="str">
        <x:f>IFERROR(VLOOKUP($A108,'05_贷后表现'!$A$5:$J$137,2,FALSE),"N")</x:f>
        <x:v>Y</x:v>
      </x:c>
      <x:c r="P108" s="42" t="str">
        <x:f>IFERROR(VLOOKUP($A108,'05_贷后表现'!$A$5:$J$137,6,FALSE),"")</x:f>
        <x:v>N</x:v>
      </x:c>
      <x:c r="Q108" s="42" t="str">
        <x:f>IFERROR(VLOOKUP($A108,'05_贷后表现'!$A$5:$J$137,7,FALSE),"")</x:f>
        <x:v>N</x:v>
      </x:c>
      <x:c r="R108" s="45" t="n">
        <x:f>IFERROR(VLOOKUP($A108,'05_贷后表现'!$A$5:$J$137,8,FALSE),"")</x:f>
        <x:v>9</x:v>
      </x:c>
      <x:c r="S108" s="35" t="str">
        <x:f>IF(F108&lt;500,"REJECT",IF(OR(I108&gt;=2,J108&gt;60),"REJECT",IF(F108&lt;560,"REVIEW",IF(G108="","REVIEW",IF(AND(L108&lt;&gt;"Y",G108&gt;0.7),"REVIEW","PASS")))))</x:f>
        <x:v>PASS</x:v>
      </x:c>
      <x:c r="T108" s="35" t="str">
        <x:f>M108&amp;"→"&amp;S108</x:f>
        <x:v>PASS→PASS</x:v>
      </x:c>
    </x:row>
    <x:row r="109">
      <x:c r="A109" s="42" t="str">
        <x:v>APP2025000105</x:v>
      </x:c>
      <x:c r="B109" s="43" t="n">
        <x:f>VLOOKUP($A109,'01_申请数据'!$A$5:$L$204,3,FALSE)</x:f>
        <x:v>45683.40694444445</x:v>
      </x:c>
      <x:c r="C109" s="44" t="n">
        <x:f>VLOOKUP($A109,'01_申请数据'!$A$5:$L$204,5,FALSE)</x:f>
        <x:v>45000</x:v>
      </x:c>
      <x:c r="D109" s="45" t="n">
        <x:f>VLOOKUP($A109,'01_申请数据'!$A$5:$L$204,6,FALSE)</x:f>
        <x:v>12</x:v>
      </x:c>
      <x:c r="E109" s="44" t="n">
        <x:f>VLOOKUP($A109,'01_申请数据'!$A$5:$L$204,10,FALSE)</x:f>
        <x:v>11500</x:v>
      </x:c>
      <x:c r="F109" s="45" t="n">
        <x:f>VLOOKUP($A109,'02_征信特征'!$A$5:$J$204,3,FALSE)</x:f>
        <x:v>700</x:v>
      </x:c>
      <x:c r="G109" s="46" t="n">
        <x:f>VLOOKUP($A109,'02_征信特征'!$A$5:$J$204,4,FALSE)</x:f>
        <x:v>0.205</x:v>
      </x:c>
      <x:c r="H109" s="45" t="n">
        <x:f>VLOOKUP($A109,'02_征信特征'!$A$5:$J$204,5,FALSE)</x:f>
        <x:v>1</x:v>
      </x:c>
      <x:c r="I109" s="45" t="n">
        <x:f>VLOOKUP($A109,'02_征信特征'!$A$5:$J$204,6,FALSE)</x:f>
        <x:v>0</x:v>
      </x:c>
      <x:c r="J109" s="45" t="n">
        <x:f>VLOOKUP($A109,'02_征信特征'!$A$5:$J$204,7,FALSE)</x:f>
        <x:v>0</x:v>
      </x:c>
      <x:c r="K109" s="45" t="n">
        <x:f>VLOOKUP($A109,'02_征信特征'!$A$5:$J$204,8,FALSE)</x:f>
        <x:v>8</x:v>
      </x:c>
      <x:c r="L109" s="42" t="str">
        <x:f>VLOOKUP($A109,'02_征信特征'!$A$5:$J$204,9,FALSE)</x:f>
        <x:v>N</x:v>
      </x:c>
      <x:c r="M109" s="42" t="str">
        <x:f>VLOOKUP($A109,'03_决策日志'!$A$5:$G$204,4,FALSE)</x:f>
        <x:v>PASS</x:v>
      </x:c>
      <x:c r="N109" s="42" t="str">
        <x:f>IFERROR(VLOOKUP($A109,'04_人工审核'!$A$5:$H$57,6,FALSE),"NOT_REQUIRED")</x:f>
        <x:v>NOT_REQUIRED</x:v>
      </x:c>
      <x:c r="O109" s="42" t="str">
        <x:f>IFERROR(VLOOKUP($A109,'05_贷后表现'!$A$5:$J$137,2,FALSE),"N")</x:f>
        <x:v>Y</x:v>
      </x:c>
      <x:c r="P109" s="42" t="str">
        <x:f>IFERROR(VLOOKUP($A109,'05_贷后表现'!$A$5:$J$137,6,FALSE),"")</x:f>
        <x:v>N</x:v>
      </x:c>
      <x:c r="Q109" s="42" t="str">
        <x:f>IFERROR(VLOOKUP($A109,'05_贷后表现'!$A$5:$J$137,7,FALSE),"")</x:f>
        <x:v>N</x:v>
      </x:c>
      <x:c r="R109" s="45" t="n">
        <x:f>IFERROR(VLOOKUP($A109,'05_贷后表现'!$A$5:$J$137,8,FALSE),"")</x:f>
        <x:v>15</x:v>
      </x:c>
      <x:c r="S109" s="35" t="str">
        <x:f>IF(F109&lt;500,"REJECT",IF(OR(I109&gt;=2,J109&gt;60),"REJECT",IF(F109&lt;560,"REVIEW",IF(G109="","REVIEW",IF(AND(L109&lt;&gt;"Y",G109&gt;0.7),"REVIEW","PASS")))))</x:f>
        <x:v>PASS</x:v>
      </x:c>
      <x:c r="T109" s="35" t="str">
        <x:f>M109&amp;"→"&amp;S109</x:f>
        <x:v>PASS→PASS</x:v>
      </x:c>
    </x:row>
    <x:row r="110">
      <x:c r="A110" s="42" t="str">
        <x:v>APP2025000106</x:v>
      </x:c>
      <x:c r="B110" s="43" t="n">
        <x:f>VLOOKUP($A110,'01_申请数据'!$A$5:$L$204,3,FALSE)</x:f>
        <x:v>45759.686111111114</x:v>
      </x:c>
      <x:c r="C110" s="44" t="n">
        <x:f>VLOOKUP($A110,'01_申请数据'!$A$5:$L$204,5,FALSE)</x:f>
        <x:v>54000</x:v>
      </x:c>
      <x:c r="D110" s="45" t="n">
        <x:f>VLOOKUP($A110,'01_申请数据'!$A$5:$L$204,6,FALSE)</x:f>
        <x:v>6</x:v>
      </x:c>
      <x:c r="E110" s="44" t="n">
        <x:f>VLOOKUP($A110,'01_申请数据'!$A$5:$L$204,10,FALSE)</x:f>
        <x:v>6500</x:v>
      </x:c>
      <x:c r="F110" s="45" t="n">
        <x:f>VLOOKUP($A110,'02_征信特征'!$A$5:$J$204,3,FALSE)</x:f>
        <x:v>595</x:v>
      </x:c>
      <x:c r="G110" s="46" t="n">
        <x:f>VLOOKUP($A110,'02_征信特征'!$A$5:$J$204,4,FALSE)</x:f>
        <x:v>0.843</x:v>
      </x:c>
      <x:c r="H110" s="45" t="n">
        <x:f>VLOOKUP($A110,'02_征信特征'!$A$5:$J$204,5,FALSE)</x:f>
        <x:v>4</x:v>
      </x:c>
      <x:c r="I110" s="45" t="n">
        <x:f>VLOOKUP($A110,'02_征信特征'!$A$5:$J$204,6,FALSE)</x:f>
        <x:v>2</x:v>
      </x:c>
      <x:c r="J110" s="45" t="n">
        <x:f>VLOOKUP($A110,'02_征信特征'!$A$5:$J$204,7,FALSE)</x:f>
        <x:v>83</x:v>
      </x:c>
      <x:c r="K110" s="45" t="n">
        <x:f>VLOOKUP($A110,'02_征信特征'!$A$5:$J$204,8,FALSE)</x:f>
        <x:v>4</x:v>
      </x:c>
      <x:c r="L110" s="42" t="str">
        <x:f>VLOOKUP($A110,'02_征信特征'!$A$5:$J$204,9,FALSE)</x:f>
        <x:v>N</x:v>
      </x:c>
      <x:c r="M110" s="42" t="str">
        <x:f>VLOOKUP($A110,'03_决策日志'!$A$5:$G$204,4,FALSE)</x:f>
        <x:v>REVIEW</x:v>
      </x:c>
      <x:c r="N110" s="42" t="str">
        <x:f>IFERROR(VLOOKUP($A110,'04_人工审核'!$A$5:$H$57,6,FALSE),"NOT_REQUIRED")</x:f>
        <x:v>DECLINE</x:v>
      </x:c>
      <x:c r="O110" s="42" t="str">
        <x:f>IFERROR(VLOOKUP($A110,'05_贷后表现'!$A$5:$J$137,2,FALSE),"N")</x:f>
        <x:v>N</x:v>
      </x:c>
      <x:c r="P110" s="42" t="str">
        <x:f>IFERROR(VLOOKUP($A110,'05_贷后表现'!$A$5:$J$137,6,FALSE),"")</x:f>
      </x:c>
      <x:c r="Q110" s="42" t="str">
        <x:f>IFERROR(VLOOKUP($A110,'05_贷后表现'!$A$5:$J$137,7,FALSE),"")</x:f>
      </x:c>
      <x:c r="R110" s="45" t="str">
        <x:f>IFERROR(VLOOKUP($A110,'05_贷后表现'!$A$5:$J$137,8,FALSE),"")</x:f>
      </x:c>
      <x:c r="S110" s="35" t="str">
        <x:f>IF(F110&lt;500,"REJECT",IF(OR(I110&gt;=2,J110&gt;60),"REJECT",IF(F110&lt;560,"REVIEW",IF(G110="","REVIEW",IF(AND(L110&lt;&gt;"Y",G110&gt;0.7),"REVIEW","PASS")))))</x:f>
        <x:v>REJECT</x:v>
      </x:c>
      <x:c r="T110" s="35" t="str">
        <x:f>M110&amp;"→"&amp;S110</x:f>
        <x:v>REVIEW→REJECT</x:v>
      </x:c>
    </x:row>
    <x:row r="111">
      <x:c r="A111" s="42" t="str">
        <x:v>APP2025000107</x:v>
      </x:c>
      <x:c r="B111" s="43" t="n">
        <x:f>VLOOKUP($A111,'01_申请数据'!$A$5:$L$204,3,FALSE)</x:f>
        <x:v>45783.40416666667</x:v>
      </x:c>
      <x:c r="C111" s="44" t="n">
        <x:f>VLOOKUP($A111,'01_申请数据'!$A$5:$L$204,5,FALSE)</x:f>
        <x:v>126000</x:v>
      </x:c>
      <x:c r="D111" s="45" t="n">
        <x:f>VLOOKUP($A111,'01_申请数据'!$A$5:$L$204,6,FALSE)</x:f>
        <x:v>24</x:v>
      </x:c>
      <x:c r="E111" s="44" t="n">
        <x:f>VLOOKUP($A111,'01_申请数据'!$A$5:$L$204,10,FALSE)</x:f>
        <x:v>27700</x:v>
      </x:c>
      <x:c r="F111" s="45" t="n">
        <x:f>VLOOKUP($A111,'02_征信特征'!$A$5:$J$204,3,FALSE)</x:f>
        <x:v>665</x:v>
      </x:c>
      <x:c r="G111" s="46" t="n">
        <x:f>VLOOKUP($A111,'02_征信特征'!$A$5:$J$204,4,FALSE)</x:f>
        <x:v>0.565</x:v>
      </x:c>
      <x:c r="H111" s="45" t="n">
        <x:f>VLOOKUP($A111,'02_征信特征'!$A$5:$J$204,5,FALSE)</x:f>
        <x:v>1</x:v>
      </x:c>
      <x:c r="I111" s="45" t="n">
        <x:f>VLOOKUP($A111,'02_征信特征'!$A$5:$J$204,6,FALSE)</x:f>
        <x:v>0</x:v>
      </x:c>
      <x:c r="J111" s="45" t="n">
        <x:f>VLOOKUP($A111,'02_征信特征'!$A$5:$J$204,7,FALSE)</x:f>
        <x:v>0</x:v>
      </x:c>
      <x:c r="K111" s="45" t="n">
        <x:f>VLOOKUP($A111,'02_征信特征'!$A$5:$J$204,8,FALSE)</x:f>
        <x:v>7</x:v>
      </x:c>
      <x:c r="L111" s="42" t="str">
        <x:f>VLOOKUP($A111,'02_征信特征'!$A$5:$J$204,9,FALSE)</x:f>
        <x:v>N</x:v>
      </x:c>
      <x:c r="M111" s="42" t="str">
        <x:f>VLOOKUP($A111,'03_决策日志'!$A$5:$G$204,4,FALSE)</x:f>
        <x:v>PASS</x:v>
      </x:c>
      <x:c r="N111" s="42" t="str">
        <x:f>IFERROR(VLOOKUP($A111,'04_人工审核'!$A$5:$H$57,6,FALSE),"NOT_REQUIRED")</x:f>
        <x:v>NOT_REQUIRED</x:v>
      </x:c>
      <x:c r="O111" s="42" t="str">
        <x:f>IFERROR(VLOOKUP($A111,'05_贷后表现'!$A$5:$J$137,2,FALSE),"N")</x:f>
        <x:v>Y</x:v>
      </x:c>
      <x:c r="P111" s="42" t="str">
        <x:f>IFERROR(VLOOKUP($A111,'05_贷后表现'!$A$5:$J$137,6,FALSE),"")</x:f>
        <x:v>N</x:v>
      </x:c>
      <x:c r="Q111" s="42" t="str">
        <x:f>IFERROR(VLOOKUP($A111,'05_贷后表现'!$A$5:$J$137,7,FALSE),"")</x:f>
        <x:v>N</x:v>
      </x:c>
      <x:c r="R111" s="45" t="n">
        <x:f>IFERROR(VLOOKUP($A111,'05_贷后表现'!$A$5:$J$137,8,FALSE),"")</x:f>
        <x:v>7</x:v>
      </x:c>
      <x:c r="S111" s="35" t="str">
        <x:f>IF(F111&lt;500,"REJECT",IF(OR(I111&gt;=2,J111&gt;60),"REJECT",IF(F111&lt;560,"REVIEW",IF(G111="","REVIEW",IF(AND(L111&lt;&gt;"Y",G111&gt;0.7),"REVIEW","PASS")))))</x:f>
        <x:v>PASS</x:v>
      </x:c>
      <x:c r="T111" s="35" t="str">
        <x:f>M111&amp;"→"&amp;S111</x:f>
        <x:v>PASS→PASS</x:v>
      </x:c>
    </x:row>
    <x:row r="112">
      <x:c r="A112" s="42" t="str">
        <x:v>APP2025000108</x:v>
      </x:c>
      <x:c r="B112" s="43" t="n">
        <x:f>VLOOKUP($A112,'01_申请数据'!$A$5:$L$204,3,FALSE)</x:f>
        <x:v>45741.458333333336</x:v>
      </x:c>
      <x:c r="C112" s="44" t="n">
        <x:f>VLOOKUP($A112,'01_申请数据'!$A$5:$L$204,5,FALSE)</x:f>
        <x:v>135000</x:v>
      </x:c>
      <x:c r="D112" s="45" t="n">
        <x:f>VLOOKUP($A112,'01_申请数据'!$A$5:$L$204,6,FALSE)</x:f>
        <x:v>36</x:v>
      </x:c>
      <x:c r="E112" s="44" t="n">
        <x:f>VLOOKUP($A112,'01_申请数据'!$A$5:$L$204,10,FALSE)</x:f>
        <x:v>21200</x:v>
      </x:c>
      <x:c r="F112" s="45" t="n">
        <x:f>VLOOKUP($A112,'02_征信特征'!$A$5:$J$204,3,FALSE)</x:f>
        <x:v>645</x:v>
      </x:c>
      <x:c r="G112" s="46" t="n">
        <x:f>VLOOKUP($A112,'02_征信特征'!$A$5:$J$204,4,FALSE)</x:f>
        <x:v>0.268</x:v>
      </x:c>
      <x:c r="H112" s="45" t="n">
        <x:f>VLOOKUP($A112,'02_征信特征'!$A$5:$J$204,5,FALSE)</x:f>
        <x:v>2</x:v>
      </x:c>
      <x:c r="I112" s="45" t="n">
        <x:f>VLOOKUP($A112,'02_征信特征'!$A$5:$J$204,6,FALSE)</x:f>
        <x:v>0</x:v>
      </x:c>
      <x:c r="J112" s="45" t="n">
        <x:f>VLOOKUP($A112,'02_征信特征'!$A$5:$J$204,7,FALSE)</x:f>
        <x:v>0</x:v>
      </x:c>
      <x:c r="K112" s="45" t="n">
        <x:f>VLOOKUP($A112,'02_征信特征'!$A$5:$J$204,8,FALSE)</x:f>
        <x:v>0</x:v>
      </x:c>
      <x:c r="L112" s="42" t="str">
        <x:f>VLOOKUP($A112,'02_征信特征'!$A$5:$J$204,9,FALSE)</x:f>
        <x:v>N</x:v>
      </x:c>
      <x:c r="M112" s="42" t="str">
        <x:f>VLOOKUP($A112,'03_决策日志'!$A$5:$G$204,4,FALSE)</x:f>
        <x:v>PASS</x:v>
      </x:c>
      <x:c r="N112" s="42" t="str">
        <x:f>IFERROR(VLOOKUP($A112,'04_人工审核'!$A$5:$H$57,6,FALSE),"NOT_REQUIRED")</x:f>
        <x:v>NOT_REQUIRED</x:v>
      </x:c>
      <x:c r="O112" s="42" t="str">
        <x:f>IFERROR(VLOOKUP($A112,'05_贷后表现'!$A$5:$J$137,2,FALSE),"N")</x:f>
        <x:v>Y</x:v>
      </x:c>
      <x:c r="P112" s="42" t="str">
        <x:f>IFERROR(VLOOKUP($A112,'05_贷后表现'!$A$5:$J$137,6,FALSE),"")</x:f>
        <x:v>N</x:v>
      </x:c>
      <x:c r="Q112" s="42" t="str">
        <x:f>IFERROR(VLOOKUP($A112,'05_贷后表现'!$A$5:$J$137,7,FALSE),"")</x:f>
        <x:v>N</x:v>
      </x:c>
      <x:c r="R112" s="45" t="n">
        <x:f>IFERROR(VLOOKUP($A112,'05_贷后表现'!$A$5:$J$137,8,FALSE),"")</x:f>
        <x:v>14</x:v>
      </x:c>
      <x:c r="S112" s="35" t="str">
        <x:f>IF(F112&lt;500,"REJECT",IF(OR(I112&gt;=2,J112&gt;60),"REJECT",IF(F112&lt;560,"REVIEW",IF(G112="","REVIEW",IF(AND(L112&lt;&gt;"Y",G112&gt;0.7),"REVIEW","PASS")))))</x:f>
        <x:v>PASS</x:v>
      </x:c>
      <x:c r="T112" s="35" t="str">
        <x:f>M112&amp;"→"&amp;S112</x:f>
        <x:v>PASS→PASS</x:v>
      </x:c>
    </x:row>
    <x:row r="113">
      <x:c r="A113" s="42" t="str">
        <x:v>APP2025000109</x:v>
      </x:c>
      <x:c r="B113" s="43" t="n">
        <x:f>VLOOKUP($A113,'01_申请数据'!$A$5:$L$204,3,FALSE)</x:f>
        <x:v>45738.660416666666</x:v>
      </x:c>
      <x:c r="C113" s="44" t="n">
        <x:f>VLOOKUP($A113,'01_申请数据'!$A$5:$L$204,5,FALSE)</x:f>
        <x:v>94000</x:v>
      </x:c>
      <x:c r="D113" s="45" t="n">
        <x:f>VLOOKUP($A113,'01_申请数据'!$A$5:$L$204,6,FALSE)</x:f>
        <x:v>36</x:v>
      </x:c>
      <x:c r="E113" s="44" t="n">
        <x:f>VLOOKUP($A113,'01_申请数据'!$A$5:$L$204,10,FALSE)</x:f>
        <x:v>10400</x:v>
      </x:c>
      <x:c r="F113" s="45" t="n">
        <x:f>VLOOKUP($A113,'02_征信特征'!$A$5:$J$204,3,FALSE)</x:f>
        <x:v>630</x:v>
      </x:c>
      <x:c r="G113" s="46" t="n">
        <x:f>VLOOKUP($A113,'02_征信特征'!$A$5:$J$204,4,FALSE)</x:f>
        <x:v>0.545</x:v>
      </x:c>
      <x:c r="H113" s="45" t="n">
        <x:f>VLOOKUP($A113,'02_征信特征'!$A$5:$J$204,5,FALSE)</x:f>
        <x:v>1</x:v>
      </x:c>
      <x:c r="I113" s="45" t="n">
        <x:f>VLOOKUP($A113,'02_征信特征'!$A$5:$J$204,6,FALSE)</x:f>
        <x:v>0</x:v>
      </x:c>
      <x:c r="J113" s="45" t="n">
        <x:f>VLOOKUP($A113,'02_征信特征'!$A$5:$J$204,7,FALSE)</x:f>
        <x:v>0</x:v>
      </x:c>
      <x:c r="K113" s="45" t="n">
        <x:f>VLOOKUP($A113,'02_征信特征'!$A$5:$J$204,8,FALSE)</x:f>
        <x:v>4</x:v>
      </x:c>
      <x:c r="L113" s="42" t="str">
        <x:f>VLOOKUP($A113,'02_征信特征'!$A$5:$J$204,9,FALSE)</x:f>
        <x:v>N</x:v>
      </x:c>
      <x:c r="M113" s="42" t="str">
        <x:f>VLOOKUP($A113,'03_决策日志'!$A$5:$G$204,4,FALSE)</x:f>
        <x:v>PASS</x:v>
      </x:c>
      <x:c r="N113" s="42" t="str">
        <x:f>IFERROR(VLOOKUP($A113,'04_人工审核'!$A$5:$H$57,6,FALSE),"NOT_REQUIRED")</x:f>
        <x:v>NOT_REQUIRED</x:v>
      </x:c>
      <x:c r="O113" s="42" t="str">
        <x:f>IFERROR(VLOOKUP($A113,'05_贷后表现'!$A$5:$J$137,2,FALSE),"N")</x:f>
        <x:v>Y</x:v>
      </x:c>
      <x:c r="P113" s="42" t="str">
        <x:f>IFERROR(VLOOKUP($A113,'05_贷后表现'!$A$5:$J$137,6,FALSE),"")</x:f>
        <x:v>N</x:v>
      </x:c>
      <x:c r="Q113" s="42" t="str">
        <x:f>IFERROR(VLOOKUP($A113,'05_贷后表现'!$A$5:$J$137,7,FALSE),"")</x:f>
        <x:v>N</x:v>
      </x:c>
      <x:c r="R113" s="45" t="n">
        <x:f>IFERROR(VLOOKUP($A113,'05_贷后表现'!$A$5:$J$137,8,FALSE),"")</x:f>
        <x:v>6</x:v>
      </x:c>
      <x:c r="S113" s="35" t="str">
        <x:f>IF(F113&lt;500,"REJECT",IF(OR(I113&gt;=2,J113&gt;60),"REJECT",IF(F113&lt;560,"REVIEW",IF(G113="","REVIEW",IF(AND(L113&lt;&gt;"Y",G113&gt;0.7),"REVIEW","PASS")))))</x:f>
        <x:v>PASS</x:v>
      </x:c>
      <x:c r="T113" s="35" t="str">
        <x:f>M113&amp;"→"&amp;S113</x:f>
        <x:v>PASS→PASS</x:v>
      </x:c>
    </x:row>
    <x:row r="114">
      <x:c r="A114" s="42" t="str">
        <x:v>APP2025000110</x:v>
      </x:c>
      <x:c r="B114" s="43" t="n">
        <x:f>VLOOKUP($A114,'01_申请数据'!$A$5:$L$204,3,FALSE)</x:f>
        <x:v>45679.73888888889</x:v>
      </x:c>
      <x:c r="C114" s="44" t="n">
        <x:f>VLOOKUP($A114,'01_申请数据'!$A$5:$L$204,5,FALSE)</x:f>
        <x:v>69000</x:v>
      </x:c>
      <x:c r="D114" s="45" t="n">
        <x:f>VLOOKUP($A114,'01_申请数据'!$A$5:$L$204,6,FALSE)</x:f>
        <x:v>12</x:v>
      </x:c>
      <x:c r="E114" s="44" t="n">
        <x:f>VLOOKUP($A114,'01_申请数据'!$A$5:$L$204,10,FALSE)</x:f>
        <x:v>11500</x:v>
      </x:c>
      <x:c r="F114" s="45" t="n">
        <x:f>VLOOKUP($A114,'02_征信特征'!$A$5:$J$204,3,FALSE)</x:f>
        <x:v>644</x:v>
      </x:c>
      <x:c r="G114" s="46" t="n">
        <x:f>VLOOKUP($A114,'02_征信特征'!$A$5:$J$204,4,FALSE)</x:f>
        <x:v>0.275</x:v>
      </x:c>
      <x:c r="H114" s="45" t="n">
        <x:f>VLOOKUP($A114,'02_征信特征'!$A$5:$J$204,5,FALSE)</x:f>
        <x:v>5</x:v>
      </x:c>
      <x:c r="I114" s="45" t="n">
        <x:f>VLOOKUP($A114,'02_征信特征'!$A$5:$J$204,6,FALSE)</x:f>
        <x:v>0</x:v>
      </x:c>
      <x:c r="J114" s="45" t="n">
        <x:f>VLOOKUP($A114,'02_征信特征'!$A$5:$J$204,7,FALSE)</x:f>
        <x:v>0</x:v>
      </x:c>
      <x:c r="K114" s="45" t="n">
        <x:f>VLOOKUP($A114,'02_征信特征'!$A$5:$J$204,8,FALSE)</x:f>
        <x:v>3</x:v>
      </x:c>
      <x:c r="L114" s="42" t="str">
        <x:f>VLOOKUP($A114,'02_征信特征'!$A$5:$J$204,9,FALSE)</x:f>
        <x:v>N</x:v>
      </x:c>
      <x:c r="M114" s="42" t="str">
        <x:f>VLOOKUP($A114,'03_决策日志'!$A$5:$G$204,4,FALSE)</x:f>
        <x:v>PASS</x:v>
      </x:c>
      <x:c r="N114" s="42" t="str">
        <x:f>IFERROR(VLOOKUP($A114,'04_人工审核'!$A$5:$H$57,6,FALSE),"NOT_REQUIRED")</x:f>
        <x:v>NOT_REQUIRED</x:v>
      </x:c>
      <x:c r="O114" s="42" t="str">
        <x:f>IFERROR(VLOOKUP($A114,'05_贷后表现'!$A$5:$J$137,2,FALSE),"N")</x:f>
        <x:v>Y</x:v>
      </x:c>
      <x:c r="P114" s="42" t="str">
        <x:f>IFERROR(VLOOKUP($A114,'05_贷后表现'!$A$5:$J$137,6,FALSE),"")</x:f>
        <x:v>N</x:v>
      </x:c>
      <x:c r="Q114" s="42" t="str">
        <x:f>IFERROR(VLOOKUP($A114,'05_贷后表现'!$A$5:$J$137,7,FALSE),"")</x:f>
        <x:v>N</x:v>
      </x:c>
      <x:c r="R114" s="45" t="n">
        <x:f>IFERROR(VLOOKUP($A114,'05_贷后表现'!$A$5:$J$137,8,FALSE),"")</x:f>
        <x:v>10</x:v>
      </x:c>
      <x:c r="S114" s="35" t="str">
        <x:f>IF(F114&lt;500,"REJECT",IF(OR(I114&gt;=2,J114&gt;60),"REJECT",IF(F114&lt;560,"REVIEW",IF(G114="","REVIEW",IF(AND(L114&lt;&gt;"Y",G114&gt;0.7),"REVIEW","PASS")))))</x:f>
        <x:v>PASS</x:v>
      </x:c>
      <x:c r="T114" s="35" t="str">
        <x:f>M114&amp;"→"&amp;S114</x:f>
        <x:v>PASS→PASS</x:v>
      </x:c>
    </x:row>
    <x:row r="115">
      <x:c r="A115" s="42" t="str">
        <x:v>APP2025000111</x:v>
      </x:c>
      <x:c r="B115" s="43" t="n">
        <x:f>VLOOKUP($A115,'01_申请数据'!$A$5:$L$204,3,FALSE)</x:f>
        <x:v>45747.35833333333</x:v>
      </x:c>
      <x:c r="C115" s="44" t="n">
        <x:f>VLOOKUP($A115,'01_申请数据'!$A$5:$L$204,5,FALSE)</x:f>
        <x:v>62000</x:v>
      </x:c>
      <x:c r="D115" s="45" t="n">
        <x:f>VLOOKUP($A115,'01_申请数据'!$A$5:$L$204,6,FALSE)</x:f>
        <x:v>12</x:v>
      </x:c>
      <x:c r="E115" s="44" t="n">
        <x:f>VLOOKUP($A115,'01_申请数据'!$A$5:$L$204,10,FALSE)</x:f>
        <x:v>22600</x:v>
      </x:c>
      <x:c r="F115" s="45" t="n">
        <x:f>VLOOKUP($A115,'02_征信特征'!$A$5:$J$204,3,FALSE)</x:f>
        <x:v>673</x:v>
      </x:c>
      <x:c r="G115" s="46" t="n">
        <x:f>VLOOKUP($A115,'02_征信特征'!$A$5:$J$204,4,FALSE)</x:f>
        <x:v>0.683</x:v>
      </x:c>
      <x:c r="H115" s="45" t="n">
        <x:f>VLOOKUP($A115,'02_征信特征'!$A$5:$J$204,5,FALSE)</x:f>
        <x:v>1</x:v>
      </x:c>
      <x:c r="I115" s="45" t="n">
        <x:f>VLOOKUP($A115,'02_征信特征'!$A$5:$J$204,6,FALSE)</x:f>
        <x:v>0</x:v>
      </x:c>
      <x:c r="J115" s="45" t="n">
        <x:f>VLOOKUP($A115,'02_征信特征'!$A$5:$J$204,7,FALSE)</x:f>
        <x:v>0</x:v>
      </x:c>
      <x:c r="K115" s="45" t="n">
        <x:f>VLOOKUP($A115,'02_征信特征'!$A$5:$J$204,8,FALSE)</x:f>
        <x:v>11</x:v>
      </x:c>
      <x:c r="L115" s="42" t="str">
        <x:f>VLOOKUP($A115,'02_征信特征'!$A$5:$J$204,9,FALSE)</x:f>
        <x:v>N</x:v>
      </x:c>
      <x:c r="M115" s="42" t="str">
        <x:f>VLOOKUP($A115,'03_决策日志'!$A$5:$G$204,4,FALSE)</x:f>
        <x:v>PASS</x:v>
      </x:c>
      <x:c r="N115" s="42" t="str">
        <x:f>IFERROR(VLOOKUP($A115,'04_人工审核'!$A$5:$H$57,6,FALSE),"NOT_REQUIRED")</x:f>
        <x:v>NOT_REQUIRED</x:v>
      </x:c>
      <x:c r="O115" s="42" t="str">
        <x:f>IFERROR(VLOOKUP($A115,'05_贷后表现'!$A$5:$J$137,2,FALSE),"N")</x:f>
        <x:v>Y</x:v>
      </x:c>
      <x:c r="P115" s="42" t="str">
        <x:f>IFERROR(VLOOKUP($A115,'05_贷后表现'!$A$5:$J$137,6,FALSE),"")</x:f>
        <x:v>N</x:v>
      </x:c>
      <x:c r="Q115" s="42" t="str">
        <x:f>IFERROR(VLOOKUP($A115,'05_贷后表现'!$A$5:$J$137,7,FALSE),"")</x:f>
        <x:v>N</x:v>
      </x:c>
      <x:c r="R115" s="45" t="n">
        <x:f>IFERROR(VLOOKUP($A115,'05_贷后表现'!$A$5:$J$137,8,FALSE),"")</x:f>
        <x:v>6</x:v>
      </x:c>
      <x:c r="S115" s="35" t="str">
        <x:f>IF(F115&lt;500,"REJECT",IF(OR(I115&gt;=2,J115&gt;60),"REJECT",IF(F115&lt;560,"REVIEW",IF(G115="","REVIEW",IF(AND(L115&lt;&gt;"Y",G115&gt;0.7),"REVIEW","PASS")))))</x:f>
        <x:v>PASS</x:v>
      </x:c>
      <x:c r="T115" s="35" t="str">
        <x:f>M115&amp;"→"&amp;S115</x:f>
        <x:v>PASS→PASS</x:v>
      </x:c>
    </x:row>
    <x:row r="116">
      <x:c r="A116" s="42" t="str">
        <x:v>APP2025000112</x:v>
      </x:c>
      <x:c r="B116" s="43" t="n">
        <x:f>VLOOKUP($A116,'01_申请数据'!$A$5:$L$204,3,FALSE)</x:f>
        <x:v>45684.48333333333</x:v>
      </x:c>
      <x:c r="C116" s="44" t="n">
        <x:f>VLOOKUP($A116,'01_申请数据'!$A$5:$L$204,5,FALSE)</x:f>
        <x:v>25000</x:v>
      </x:c>
      <x:c r="D116" s="45" t="n">
        <x:f>VLOOKUP($A116,'01_申请数据'!$A$5:$L$204,6,FALSE)</x:f>
        <x:v>24</x:v>
      </x:c>
      <x:c r="E116" s="44" t="n">
        <x:f>VLOOKUP($A116,'01_申请数据'!$A$5:$L$204,10,FALSE)</x:f>
        <x:v>29100</x:v>
      </x:c>
      <x:c r="F116" s="45" t="n">
        <x:f>VLOOKUP($A116,'02_征信特征'!$A$5:$J$204,3,FALSE)</x:f>
        <x:v>546</x:v>
      </x:c>
      <x:c r="G116" s="46" t="n">
        <x:f>VLOOKUP($A116,'02_征信特征'!$A$5:$J$204,4,FALSE)</x:f>
        <x:v>0.509</x:v>
      </x:c>
      <x:c r="H116" s="45" t="n">
        <x:f>VLOOKUP($A116,'02_征信特征'!$A$5:$J$204,5,FALSE)</x:f>
        <x:v>2</x:v>
      </x:c>
      <x:c r="I116" s="45" t="n">
        <x:f>VLOOKUP($A116,'02_征信特征'!$A$5:$J$204,6,FALSE)</x:f>
        <x:v>2</x:v>
      </x:c>
      <x:c r="J116" s="45" t="n">
        <x:f>VLOOKUP($A116,'02_征信特征'!$A$5:$J$204,7,FALSE)</x:f>
        <x:v>30</x:v>
      </x:c>
      <x:c r="K116" s="45" t="n">
        <x:f>VLOOKUP($A116,'02_征信特征'!$A$5:$J$204,8,FALSE)</x:f>
        <x:v>0</x:v>
      </x:c>
      <x:c r="L116" s="42" t="str">
        <x:f>VLOOKUP($A116,'02_征信特征'!$A$5:$J$204,9,FALSE)</x:f>
        <x:v>N</x:v>
      </x:c>
      <x:c r="M116" s="42" t="str">
        <x:f>VLOOKUP($A116,'03_决策日志'!$A$5:$G$204,4,FALSE)</x:f>
        <x:v>REVIEW</x:v>
      </x:c>
      <x:c r="N116" s="42" t="str">
        <x:f>IFERROR(VLOOKUP($A116,'04_人工审核'!$A$5:$H$57,6,FALSE),"NOT_REQUIRED")</x:f>
        <x:v>DECLINE</x:v>
      </x:c>
      <x:c r="O116" s="42" t="str">
        <x:f>IFERROR(VLOOKUP($A116,'05_贷后表现'!$A$5:$J$137,2,FALSE),"N")</x:f>
        <x:v>N</x:v>
      </x:c>
      <x:c r="P116" s="42" t="str">
        <x:f>IFERROR(VLOOKUP($A116,'05_贷后表现'!$A$5:$J$137,6,FALSE),"")</x:f>
      </x:c>
      <x:c r="Q116" s="42" t="str">
        <x:f>IFERROR(VLOOKUP($A116,'05_贷后表现'!$A$5:$J$137,7,FALSE),"")</x:f>
      </x:c>
      <x:c r="R116" s="45" t="str">
        <x:f>IFERROR(VLOOKUP($A116,'05_贷后表现'!$A$5:$J$137,8,FALSE),"")</x:f>
      </x:c>
      <x:c r="S116" s="35" t="str">
        <x:f>IF(F116&lt;500,"REJECT",IF(OR(I116&gt;=2,J116&gt;60),"REJECT",IF(F116&lt;560,"REVIEW",IF(G116="","REVIEW",IF(AND(L116&lt;&gt;"Y",G116&gt;0.7),"REVIEW","PASS")))))</x:f>
        <x:v>REJECT</x:v>
      </x:c>
      <x:c r="T116" s="35" t="str">
        <x:f>M116&amp;"→"&amp;S116</x:f>
        <x:v>REVIEW→REJECT</x:v>
      </x:c>
    </x:row>
    <x:row r="117">
      <x:c r="A117" s="42" t="str">
        <x:v>APP2025000113</x:v>
      </x:c>
      <x:c r="B117" s="43" t="n">
        <x:f>VLOOKUP($A117,'01_申请数据'!$A$5:$L$204,3,FALSE)</x:f>
        <x:v>45669.657638888886</x:v>
      </x:c>
      <x:c r="C117" s="44" t="n">
        <x:f>VLOOKUP($A117,'01_申请数据'!$A$5:$L$204,5,FALSE)</x:f>
        <x:v>149000</x:v>
      </x:c>
      <x:c r="D117" s="45" t="n">
        <x:f>VLOOKUP($A117,'01_申请数据'!$A$5:$L$204,6,FALSE)</x:f>
        <x:v>36</x:v>
      </x:c>
      <x:c r="E117" s="44" t="n">
        <x:f>VLOOKUP($A117,'01_申请数据'!$A$5:$L$204,10,FALSE)</x:f>
        <x:v>28500</x:v>
      </x:c>
      <x:c r="F117" s="45" t="n">
        <x:f>VLOOKUP($A117,'02_征信特征'!$A$5:$J$204,3,FALSE)</x:f>
        <x:v>645</x:v>
      </x:c>
      <x:c r="G117" s="46" t="n">
        <x:f>VLOOKUP($A117,'02_征信特征'!$A$5:$J$204,4,FALSE)</x:f>
        <x:v>0.98</x:v>
      </x:c>
      <x:c r="H117" s="45" t="n">
        <x:f>VLOOKUP($A117,'02_征信特征'!$A$5:$J$204,5,FALSE)</x:f>
        <x:v>5</x:v>
      </x:c>
      <x:c r="I117" s="45" t="n">
        <x:f>VLOOKUP($A117,'02_征信特征'!$A$5:$J$204,6,FALSE)</x:f>
        <x:v>1</x:v>
      </x:c>
      <x:c r="J117" s="45" t="n">
        <x:f>VLOOKUP($A117,'02_征信特征'!$A$5:$J$204,7,FALSE)</x:f>
        <x:v>46</x:v>
      </x:c>
      <x:c r="K117" s="45" t="n">
        <x:f>VLOOKUP($A117,'02_征信特征'!$A$5:$J$204,8,FALSE)</x:f>
        <x:v>9</x:v>
      </x:c>
      <x:c r="L117" s="42" t="str">
        <x:f>VLOOKUP($A117,'02_征信特征'!$A$5:$J$204,9,FALSE)</x:f>
        <x:v>N</x:v>
      </x:c>
      <x:c r="M117" s="42" t="str">
        <x:f>VLOOKUP($A117,'03_决策日志'!$A$5:$G$204,4,FALSE)</x:f>
        <x:v>REVIEW</x:v>
      </x:c>
      <x:c r="N117" s="42" t="str">
        <x:f>IFERROR(VLOOKUP($A117,'04_人工审核'!$A$5:$H$57,6,FALSE),"NOT_REQUIRED")</x:f>
        <x:v>APPROVE</x:v>
      </x:c>
      <x:c r="O117" s="42" t="str">
        <x:f>IFERROR(VLOOKUP($A117,'05_贷后表现'!$A$5:$J$137,2,FALSE),"N")</x:f>
        <x:v>Y</x:v>
      </x:c>
      <x:c r="P117" s="42" t="str">
        <x:f>IFERROR(VLOOKUP($A117,'05_贷后表现'!$A$5:$J$137,6,FALSE),"")</x:f>
        <x:v>N</x:v>
      </x:c>
      <x:c r="Q117" s="42" t="str">
        <x:f>IFERROR(VLOOKUP($A117,'05_贷后表现'!$A$5:$J$137,7,FALSE),"")</x:f>
        <x:v>N</x:v>
      </x:c>
      <x:c r="R117" s="45" t="n">
        <x:f>IFERROR(VLOOKUP($A117,'05_贷后表现'!$A$5:$J$137,8,FALSE),"")</x:f>
        <x:v>6</x:v>
      </x:c>
      <x:c r="S117" s="35" t="str">
        <x:f>IF(F117&lt;500,"REJECT",IF(OR(I117&gt;=2,J117&gt;60),"REJECT",IF(F117&lt;560,"REVIEW",IF(G117="","REVIEW",IF(AND(L117&lt;&gt;"Y",G117&gt;0.7),"REVIEW","PASS")))))</x:f>
        <x:v>REVIEW</x:v>
      </x:c>
      <x:c r="T117" s="35" t="str">
        <x:f>M117&amp;"→"&amp;S117</x:f>
        <x:v>REVIEW→REVIEW</x:v>
      </x:c>
    </x:row>
    <x:row r="118">
      <x:c r="A118" s="42" t="str">
        <x:v>APP2025000114</x:v>
      </x:c>
      <x:c r="B118" s="43" t="n">
        <x:f>VLOOKUP($A118,'01_申请数据'!$A$5:$L$204,3,FALSE)</x:f>
        <x:v>45775.365277777775</x:v>
      </x:c>
      <x:c r="C118" s="44" t="n">
        <x:f>VLOOKUP($A118,'01_申请数据'!$A$5:$L$204,5,FALSE)</x:f>
        <x:v>83000</x:v>
      </x:c>
      <x:c r="D118" s="45" t="n">
        <x:f>VLOOKUP($A118,'01_申请数据'!$A$5:$L$204,6,FALSE)</x:f>
        <x:v>18</x:v>
      </x:c>
      <x:c r="E118" s="44" t="n">
        <x:f>VLOOKUP($A118,'01_申请数据'!$A$5:$L$204,10,FALSE)</x:f>
        <x:v>11500</x:v>
      </x:c>
      <x:c r="F118" s="45" t="n">
        <x:f>VLOOKUP($A118,'02_征信特征'!$A$5:$J$204,3,FALSE)</x:f>
        <x:v>657</x:v>
      </x:c>
      <x:c r="G118" s="46" t="n">
        <x:f>VLOOKUP($A118,'02_征信特征'!$A$5:$J$204,4,FALSE)</x:f>
        <x:v>0.789</x:v>
      </x:c>
      <x:c r="H118" s="45" t="n">
        <x:f>VLOOKUP($A118,'02_征信特征'!$A$5:$J$204,5,FALSE)</x:f>
        <x:v>4</x:v>
      </x:c>
      <x:c r="I118" s="45" t="n">
        <x:f>VLOOKUP($A118,'02_征信特征'!$A$5:$J$204,6,FALSE)</x:f>
        <x:v>1</x:v>
      </x:c>
      <x:c r="J118" s="45" t="n">
        <x:f>VLOOKUP($A118,'02_征信特征'!$A$5:$J$204,7,FALSE)</x:f>
        <x:v>35</x:v>
      </x:c>
      <x:c r="K118" s="45" t="n">
        <x:f>VLOOKUP($A118,'02_征信特征'!$A$5:$J$204,8,FALSE)</x:f>
        <x:v>8</x:v>
      </x:c>
      <x:c r="L118" s="42" t="str">
        <x:f>VLOOKUP($A118,'02_征信特征'!$A$5:$J$204,9,FALSE)</x:f>
        <x:v>N</x:v>
      </x:c>
      <x:c r="M118" s="42" t="str">
        <x:f>VLOOKUP($A118,'03_决策日志'!$A$5:$G$204,4,FALSE)</x:f>
        <x:v>PASS</x:v>
      </x:c>
      <x:c r="N118" s="42" t="str">
        <x:f>IFERROR(VLOOKUP($A118,'04_人工审核'!$A$5:$H$57,6,FALSE),"NOT_REQUIRED")</x:f>
        <x:v>NOT_REQUIRED</x:v>
      </x:c>
      <x:c r="O118" s="42" t="str">
        <x:f>IFERROR(VLOOKUP($A118,'05_贷后表现'!$A$5:$J$137,2,FALSE),"N")</x:f>
        <x:v>N</x:v>
      </x:c>
      <x:c r="P118" s="42" t="str">
        <x:f>IFERROR(VLOOKUP($A118,'05_贷后表现'!$A$5:$J$137,6,FALSE),"")</x:f>
      </x:c>
      <x:c r="Q118" s="42" t="str">
        <x:f>IFERROR(VLOOKUP($A118,'05_贷后表现'!$A$5:$J$137,7,FALSE),"")</x:f>
      </x:c>
      <x:c r="R118" s="45" t="str">
        <x:f>IFERROR(VLOOKUP($A118,'05_贷后表现'!$A$5:$J$137,8,FALSE),"")</x:f>
      </x:c>
      <x:c r="S118" s="35" t="str">
        <x:f>IF(F118&lt;500,"REJECT",IF(OR(I118&gt;=2,J118&gt;60),"REJECT",IF(F118&lt;560,"REVIEW",IF(G118="","REVIEW",IF(AND(L118&lt;&gt;"Y",G118&gt;0.7),"REVIEW","PASS")))))</x:f>
        <x:v>REVIEW</x:v>
      </x:c>
      <x:c r="T118" s="35" t="str">
        <x:f>M118&amp;"→"&amp;S118</x:f>
        <x:v>PASS→REVIEW</x:v>
      </x:c>
    </x:row>
    <x:row r="119">
      <x:c r="A119" s="42" t="str">
        <x:v>APP2025000115</x:v>
      </x:c>
      <x:c r="B119" s="43" t="n">
        <x:f>VLOOKUP($A119,'01_申请数据'!$A$5:$L$204,3,FALSE)</x:f>
        <x:v>45749.42569444444</x:v>
      </x:c>
      <x:c r="C119" s="44" t="n">
        <x:f>VLOOKUP($A119,'01_申请数据'!$A$5:$L$204,5,FALSE)</x:f>
        <x:v>34000</x:v>
      </x:c>
      <x:c r="D119" s="45" t="n">
        <x:f>VLOOKUP($A119,'01_申请数据'!$A$5:$L$204,6,FALSE)</x:f>
        <x:v>24</x:v>
      </x:c>
      <x:c r="E119" s="44" t="n">
        <x:f>VLOOKUP($A119,'01_申请数据'!$A$5:$L$204,10,FALSE)</x:f>
        <x:v>21800</x:v>
      </x:c>
      <x:c r="F119" s="45" t="n">
        <x:f>VLOOKUP($A119,'02_征信特征'!$A$5:$J$204,3,FALSE)</x:f>
        <x:v>660</x:v>
      </x:c>
      <x:c r="G119" s="46" t="n">
        <x:f>VLOOKUP($A119,'02_征信特征'!$A$5:$J$204,4,FALSE)</x:f>
        <x:v>0.295</x:v>
      </x:c>
      <x:c r="H119" s="45" t="n">
        <x:f>VLOOKUP($A119,'02_征信特征'!$A$5:$J$204,5,FALSE)</x:f>
        <x:v>2</x:v>
      </x:c>
      <x:c r="I119" s="45" t="n">
        <x:f>VLOOKUP($A119,'02_征信特征'!$A$5:$J$204,6,FALSE)</x:f>
        <x:v>0</x:v>
      </x:c>
      <x:c r="J119" s="45" t="n">
        <x:f>VLOOKUP($A119,'02_征信特征'!$A$5:$J$204,7,FALSE)</x:f>
        <x:v>0</x:v>
      </x:c>
      <x:c r="K119" s="45" t="n">
        <x:f>VLOOKUP($A119,'02_征信特征'!$A$5:$J$204,8,FALSE)</x:f>
        <x:v>0</x:v>
      </x:c>
      <x:c r="L119" s="42" t="str">
        <x:f>VLOOKUP($A119,'02_征信特征'!$A$5:$J$204,9,FALSE)</x:f>
        <x:v>N</x:v>
      </x:c>
      <x:c r="M119" s="42" t="str">
        <x:f>VLOOKUP($A119,'03_决策日志'!$A$5:$G$204,4,FALSE)</x:f>
        <x:v>PASS</x:v>
      </x:c>
      <x:c r="N119" s="42" t="str">
        <x:f>IFERROR(VLOOKUP($A119,'04_人工审核'!$A$5:$H$57,6,FALSE),"NOT_REQUIRED")</x:f>
        <x:v>NOT_REQUIRED</x:v>
      </x:c>
      <x:c r="O119" s="42" t="str">
        <x:f>IFERROR(VLOOKUP($A119,'05_贷后表现'!$A$5:$J$137,2,FALSE),"N")</x:f>
        <x:v>Y</x:v>
      </x:c>
      <x:c r="P119" s="42" t="str">
        <x:f>IFERROR(VLOOKUP($A119,'05_贷后表现'!$A$5:$J$137,6,FALSE),"")</x:f>
        <x:v>N</x:v>
      </x:c>
      <x:c r="Q119" s="42" t="str">
        <x:f>IFERROR(VLOOKUP($A119,'05_贷后表现'!$A$5:$J$137,7,FALSE),"")</x:f>
        <x:v>N</x:v>
      </x:c>
      <x:c r="R119" s="45" t="n">
        <x:f>IFERROR(VLOOKUP($A119,'05_贷后表现'!$A$5:$J$137,8,FALSE),"")</x:f>
        <x:v>11</x:v>
      </x:c>
      <x:c r="S119" s="35" t="str">
        <x:f>IF(F119&lt;500,"REJECT",IF(OR(I119&gt;=2,J119&gt;60),"REJECT",IF(F119&lt;560,"REVIEW",IF(G119="","REVIEW",IF(AND(L119&lt;&gt;"Y",G119&gt;0.7),"REVIEW","PASS")))))</x:f>
        <x:v>PASS</x:v>
      </x:c>
      <x:c r="T119" s="35" t="str">
        <x:f>M119&amp;"→"&amp;S119</x:f>
        <x:v>PASS→PASS</x:v>
      </x:c>
    </x:row>
    <x:row r="120">
      <x:c r="A120" s="42" t="str">
        <x:v>APP2025000116</x:v>
      </x:c>
      <x:c r="B120" s="43" t="n">
        <x:f>VLOOKUP($A120,'01_申请数据'!$A$5:$L$204,3,FALSE)</x:f>
        <x:v>45765.42916666667</x:v>
      </x:c>
      <x:c r="C120" s="44" t="n">
        <x:f>VLOOKUP($A120,'01_申请数据'!$A$5:$L$204,5,FALSE)</x:f>
        <x:v>89000</x:v>
      </x:c>
      <x:c r="D120" s="45" t="n">
        <x:f>VLOOKUP($A120,'01_申请数据'!$A$5:$L$204,6,FALSE)</x:f>
        <x:v>18</x:v>
      </x:c>
      <x:c r="E120" s="44" t="n">
        <x:f>VLOOKUP($A120,'01_申请数据'!$A$5:$L$204,10,FALSE)</x:f>
        <x:v>8000</x:v>
      </x:c>
      <x:c r="F120" s="45" t="n">
        <x:f>VLOOKUP($A120,'02_征信特征'!$A$5:$J$204,3,FALSE)</x:f>
        <x:v>611</x:v>
      </x:c>
      <x:c r="G120" s="46" t="n">
        <x:f>VLOOKUP($A120,'02_征信特征'!$A$5:$J$204,4,FALSE)</x:f>
        <x:v>0.827</x:v>
      </x:c>
      <x:c r="H120" s="45" t="n">
        <x:f>VLOOKUP($A120,'02_征信特征'!$A$5:$J$204,5,FALSE)</x:f>
        <x:v>1</x:v>
      </x:c>
      <x:c r="I120" s="45" t="n">
        <x:f>VLOOKUP($A120,'02_征信特征'!$A$5:$J$204,6,FALSE)</x:f>
        <x:v>0</x:v>
      </x:c>
      <x:c r="J120" s="45" t="n">
        <x:f>VLOOKUP($A120,'02_征信特征'!$A$5:$J$204,7,FALSE)</x:f>
        <x:v>0</x:v>
      </x:c>
      <x:c r="K120" s="45" t="n">
        <x:f>VLOOKUP($A120,'02_征信特征'!$A$5:$J$204,8,FALSE)</x:f>
        <x:v>6</x:v>
      </x:c>
      <x:c r="L120" s="42" t="str">
        <x:f>VLOOKUP($A120,'02_征信特征'!$A$5:$J$204,9,FALSE)</x:f>
        <x:v>N</x:v>
      </x:c>
      <x:c r="M120" s="42" t="str">
        <x:f>VLOOKUP($A120,'03_决策日志'!$A$5:$G$204,4,FALSE)</x:f>
        <x:v>REVIEW</x:v>
      </x:c>
      <x:c r="N120" s="42" t="str">
        <x:f>IFERROR(VLOOKUP($A120,'04_人工审核'!$A$5:$H$57,6,FALSE),"NOT_REQUIRED")</x:f>
        <x:v>DECLINE</x:v>
      </x:c>
      <x:c r="O120" s="42" t="str">
        <x:f>IFERROR(VLOOKUP($A120,'05_贷后表现'!$A$5:$J$137,2,FALSE),"N")</x:f>
        <x:v>N</x:v>
      </x:c>
      <x:c r="P120" s="42" t="str">
        <x:f>IFERROR(VLOOKUP($A120,'05_贷后表现'!$A$5:$J$137,6,FALSE),"")</x:f>
      </x:c>
      <x:c r="Q120" s="42" t="str">
        <x:f>IFERROR(VLOOKUP($A120,'05_贷后表现'!$A$5:$J$137,7,FALSE),"")</x:f>
      </x:c>
      <x:c r="R120" s="45" t="str">
        <x:f>IFERROR(VLOOKUP($A120,'05_贷后表现'!$A$5:$J$137,8,FALSE),"")</x:f>
      </x:c>
      <x:c r="S120" s="35" t="str">
        <x:f>IF(F120&lt;500,"REJECT",IF(OR(I120&gt;=2,J120&gt;60),"REJECT",IF(F120&lt;560,"REVIEW",IF(G120="","REVIEW",IF(AND(L120&lt;&gt;"Y",G120&gt;0.7),"REVIEW","PASS")))))</x:f>
        <x:v>REVIEW</x:v>
      </x:c>
      <x:c r="T120" s="35" t="str">
        <x:f>M120&amp;"→"&amp;S120</x:f>
        <x:v>REVIEW→REVIEW</x:v>
      </x:c>
    </x:row>
    <x:row r="121">
      <x:c r="A121" s="42" t="str">
        <x:v>APP2025000117</x:v>
      </x:c>
      <x:c r="B121" s="43" t="n">
        <x:f>VLOOKUP($A121,'01_申请数据'!$A$5:$L$204,3,FALSE)</x:f>
        <x:v>45717.74166666667</x:v>
      </x:c>
      <x:c r="C121" s="44" t="n">
        <x:f>VLOOKUP($A121,'01_申请数据'!$A$5:$L$204,5,FALSE)</x:f>
        <x:v>103000</x:v>
      </x:c>
      <x:c r="D121" s="45" t="n">
        <x:f>VLOOKUP($A121,'01_申请数据'!$A$5:$L$204,6,FALSE)</x:f>
        <x:v>18</x:v>
      </x:c>
      <x:c r="E121" s="44" t="n">
        <x:f>VLOOKUP($A121,'01_申请数据'!$A$5:$L$204,10,FALSE)</x:f>
        <x:v>5200</x:v>
      </x:c>
      <x:c r="F121" s="45" t="n">
        <x:f>VLOOKUP($A121,'02_征信特征'!$A$5:$J$204,3,FALSE)</x:f>
        <x:v>656</x:v>
      </x:c>
      <x:c r="G121" s="46" t="n">
        <x:f>VLOOKUP($A121,'02_征信特征'!$A$5:$J$204,4,FALSE)</x:f>
        <x:v>0.505</x:v>
      </x:c>
      <x:c r="H121" s="45" t="n">
        <x:f>VLOOKUP($A121,'02_征信特征'!$A$5:$J$204,5,FALSE)</x:f>
        <x:v>5</x:v>
      </x:c>
      <x:c r="I121" s="45" t="n">
        <x:f>VLOOKUP($A121,'02_征信特征'!$A$5:$J$204,6,FALSE)</x:f>
        <x:v>0</x:v>
      </x:c>
      <x:c r="J121" s="45" t="n">
        <x:f>VLOOKUP($A121,'02_征信特征'!$A$5:$J$204,7,FALSE)</x:f>
        <x:v>0</x:v>
      </x:c>
      <x:c r="K121" s="45" t="n">
        <x:f>VLOOKUP($A121,'02_征信特征'!$A$5:$J$204,8,FALSE)</x:f>
        <x:v>7</x:v>
      </x:c>
      <x:c r="L121" s="42" t="str">
        <x:f>VLOOKUP($A121,'02_征信特征'!$A$5:$J$204,9,FALSE)</x:f>
        <x:v>N</x:v>
      </x:c>
      <x:c r="M121" s="42" t="str">
        <x:f>VLOOKUP($A121,'03_决策日志'!$A$5:$G$204,4,FALSE)</x:f>
        <x:v>PASS</x:v>
      </x:c>
      <x:c r="N121" s="42" t="str">
        <x:f>IFERROR(VLOOKUP($A121,'04_人工审核'!$A$5:$H$57,6,FALSE),"NOT_REQUIRED")</x:f>
        <x:v>NOT_REQUIRED</x:v>
      </x:c>
      <x:c r="O121" s="42" t="str">
        <x:f>IFERROR(VLOOKUP($A121,'05_贷后表现'!$A$5:$J$137,2,FALSE),"N")</x:f>
        <x:v>Y</x:v>
      </x:c>
      <x:c r="P121" s="42" t="str">
        <x:f>IFERROR(VLOOKUP($A121,'05_贷后表现'!$A$5:$J$137,6,FALSE),"")</x:f>
        <x:v>N</x:v>
      </x:c>
      <x:c r="Q121" s="42" t="str">
        <x:f>IFERROR(VLOOKUP($A121,'05_贷后表现'!$A$5:$J$137,7,FALSE),"")</x:f>
        <x:v>N</x:v>
      </x:c>
      <x:c r="R121" s="45" t="n">
        <x:f>IFERROR(VLOOKUP($A121,'05_贷后表现'!$A$5:$J$137,8,FALSE),"")</x:f>
        <x:v>13</x:v>
      </x:c>
      <x:c r="S121" s="35" t="str">
        <x:f>IF(F121&lt;500,"REJECT",IF(OR(I121&gt;=2,J121&gt;60),"REJECT",IF(F121&lt;560,"REVIEW",IF(G121="","REVIEW",IF(AND(L121&lt;&gt;"Y",G121&gt;0.7),"REVIEW","PASS")))))</x:f>
        <x:v>PASS</x:v>
      </x:c>
      <x:c r="T121" s="35" t="str">
        <x:f>M121&amp;"→"&amp;S121</x:f>
        <x:v>PASS→PASS</x:v>
      </x:c>
    </x:row>
    <x:row r="122">
      <x:c r="A122" s="42" t="str">
        <x:v>APP2025000118</x:v>
      </x:c>
      <x:c r="B122" s="43" t="n">
        <x:f>VLOOKUP($A122,'01_申请数据'!$A$5:$L$204,3,FALSE)</x:f>
        <x:v>45829.37847222222</x:v>
      </x:c>
      <x:c r="C122" s="44" t="n">
        <x:f>VLOOKUP($A122,'01_申请数据'!$A$5:$L$204,5,FALSE)</x:f>
        <x:v>17000</x:v>
      </x:c>
      <x:c r="D122" s="45" t="n">
        <x:f>VLOOKUP($A122,'01_申请数据'!$A$5:$L$204,6,FALSE)</x:f>
        <x:v>24</x:v>
      </x:c>
      <x:c r="E122" s="44" t="n">
        <x:f>VLOOKUP($A122,'01_申请数据'!$A$5:$L$204,10,FALSE)</x:f>
        <x:v>15300</x:v>
      </x:c>
      <x:c r="F122" s="45" t="n">
        <x:f>VLOOKUP($A122,'02_征信特征'!$A$5:$J$204,3,FALSE)</x:f>
        <x:v>675</x:v>
      </x:c>
      <x:c r="G122" s="46" t="n">
        <x:f>VLOOKUP($A122,'02_征信特征'!$A$5:$J$204,4,FALSE)</x:f>
        <x:v>0.554</x:v>
      </x:c>
      <x:c r="H122" s="45" t="n">
        <x:f>VLOOKUP($A122,'02_征信特征'!$A$5:$J$204,5,FALSE)</x:f>
        <x:v>1</x:v>
      </x:c>
      <x:c r="I122" s="45" t="n">
        <x:f>VLOOKUP($A122,'02_征信特征'!$A$5:$J$204,6,FALSE)</x:f>
        <x:v>0</x:v>
      </x:c>
      <x:c r="J122" s="45" t="n">
        <x:f>VLOOKUP($A122,'02_征信特征'!$A$5:$J$204,7,FALSE)</x:f>
        <x:v>0</x:v>
      </x:c>
      <x:c r="K122" s="45" t="n">
        <x:f>VLOOKUP($A122,'02_征信特征'!$A$5:$J$204,8,FALSE)</x:f>
        <x:v>11</x:v>
      </x:c>
      <x:c r="L122" s="42" t="str">
        <x:f>VLOOKUP($A122,'02_征信特征'!$A$5:$J$204,9,FALSE)</x:f>
        <x:v>N</x:v>
      </x:c>
      <x:c r="M122" s="42" t="str">
        <x:f>VLOOKUP($A122,'03_决策日志'!$A$5:$G$204,4,FALSE)</x:f>
        <x:v>PASS</x:v>
      </x:c>
      <x:c r="N122" s="42" t="str">
        <x:f>IFERROR(VLOOKUP($A122,'04_人工审核'!$A$5:$H$57,6,FALSE),"NOT_REQUIRED")</x:f>
        <x:v>NOT_REQUIRED</x:v>
      </x:c>
      <x:c r="O122" s="42" t="str">
        <x:f>IFERROR(VLOOKUP($A122,'05_贷后表现'!$A$5:$J$137,2,FALSE),"N")</x:f>
        <x:v>Y</x:v>
      </x:c>
      <x:c r="P122" s="42" t="str">
        <x:f>IFERROR(VLOOKUP($A122,'05_贷后表现'!$A$5:$J$137,6,FALSE),"")</x:f>
        <x:v>N</x:v>
      </x:c>
      <x:c r="Q122" s="42" t="str">
        <x:f>IFERROR(VLOOKUP($A122,'05_贷后表现'!$A$5:$J$137,7,FALSE),"")</x:f>
        <x:v>N</x:v>
      </x:c>
      <x:c r="R122" s="45" t="n">
        <x:f>IFERROR(VLOOKUP($A122,'05_贷后表现'!$A$5:$J$137,8,FALSE),"")</x:f>
        <x:v>9</x:v>
      </x:c>
      <x:c r="S122" s="35" t="str">
        <x:f>IF(F122&lt;500,"REJECT",IF(OR(I122&gt;=2,J122&gt;60),"REJECT",IF(F122&lt;560,"REVIEW",IF(G122="","REVIEW",IF(AND(L122&lt;&gt;"Y",G122&gt;0.7),"REVIEW","PASS")))))</x:f>
        <x:v>PASS</x:v>
      </x:c>
      <x:c r="T122" s="35" t="str">
        <x:f>M122&amp;"→"&amp;S122</x:f>
        <x:v>PASS→PASS</x:v>
      </x:c>
    </x:row>
    <x:row r="123">
      <x:c r="A123" s="42" t="str">
        <x:v>APP2025000119</x:v>
      </x:c>
      <x:c r="B123" s="43" t="n">
        <x:f>VLOOKUP($A123,'01_申请数据'!$A$5:$L$204,3,FALSE)</x:f>
        <x:v>45778.34722222222</x:v>
      </x:c>
      <x:c r="C123" s="44" t="n">
        <x:f>VLOOKUP($A123,'01_申请数据'!$A$5:$L$204,5,FALSE)</x:f>
        <x:v>62000</x:v>
      </x:c>
      <x:c r="D123" s="45" t="n">
        <x:f>VLOOKUP($A123,'01_申请数据'!$A$5:$L$204,6,FALSE)</x:f>
        <x:v>6</x:v>
      </x:c>
      <x:c r="E123" s="44" t="n">
        <x:f>VLOOKUP($A123,'01_申请数据'!$A$5:$L$204,10,FALSE)</x:f>
        <x:v>20600</x:v>
      </x:c>
      <x:c r="F123" s="45" t="n">
        <x:f>VLOOKUP($A123,'02_征信特征'!$A$5:$J$204,3,FALSE)</x:f>
        <x:v>571</x:v>
      </x:c>
      <x:c r="G123" s="46" t="n">
        <x:f>VLOOKUP($A123,'02_征信特征'!$A$5:$J$204,4,FALSE)</x:f>
        <x:v>0.573</x:v>
      </x:c>
      <x:c r="H123" s="45" t="n">
        <x:f>VLOOKUP($A123,'02_征信特征'!$A$5:$J$204,5,FALSE)</x:f>
        <x:v>0</x:v>
      </x:c>
      <x:c r="I123" s="45" t="n">
        <x:f>VLOOKUP($A123,'02_征信特征'!$A$5:$J$204,6,FALSE)</x:f>
        <x:v>2</x:v>
      </x:c>
      <x:c r="J123" s="45" t="n">
        <x:f>VLOOKUP($A123,'02_征信特征'!$A$5:$J$204,7,FALSE)</x:f>
        <x:v>74</x:v>
      </x:c>
      <x:c r="K123" s="45" t="n">
        <x:f>VLOOKUP($A123,'02_征信特征'!$A$5:$J$204,8,FALSE)</x:f>
        <x:v>10</x:v>
      </x:c>
      <x:c r="L123" s="42" t="str">
        <x:f>VLOOKUP($A123,'02_征信特征'!$A$5:$J$204,9,FALSE)</x:f>
        <x:v>N</x:v>
      </x:c>
      <x:c r="M123" s="42" t="str">
        <x:f>VLOOKUP($A123,'03_决策日志'!$A$5:$G$204,4,FALSE)</x:f>
        <x:v>PASS</x:v>
      </x:c>
      <x:c r="N123" s="42" t="str">
        <x:f>IFERROR(VLOOKUP($A123,'04_人工审核'!$A$5:$H$57,6,FALSE),"NOT_REQUIRED")</x:f>
        <x:v>NOT_REQUIRED</x:v>
      </x:c>
      <x:c r="O123" s="42" t="str">
        <x:f>IFERROR(VLOOKUP($A123,'05_贷后表现'!$A$5:$J$137,2,FALSE),"N")</x:f>
        <x:v>N</x:v>
      </x:c>
      <x:c r="P123" s="42" t="str">
        <x:f>IFERROR(VLOOKUP($A123,'05_贷后表现'!$A$5:$J$137,6,FALSE),"")</x:f>
      </x:c>
      <x:c r="Q123" s="42" t="str">
        <x:f>IFERROR(VLOOKUP($A123,'05_贷后表现'!$A$5:$J$137,7,FALSE),"")</x:f>
      </x:c>
      <x:c r="R123" s="45" t="str">
        <x:f>IFERROR(VLOOKUP($A123,'05_贷后表现'!$A$5:$J$137,8,FALSE),"")</x:f>
      </x:c>
      <x:c r="S123" s="35" t="str">
        <x:f>IF(F123&lt;500,"REJECT",IF(OR(I123&gt;=2,J123&gt;60),"REJECT",IF(F123&lt;560,"REVIEW",IF(G123="","REVIEW",IF(AND(L123&lt;&gt;"Y",G123&gt;0.7),"REVIEW","PASS")))))</x:f>
        <x:v>REJECT</x:v>
      </x:c>
      <x:c r="T123" s="35" t="str">
        <x:f>M123&amp;"→"&amp;S123</x:f>
        <x:v>PASS→REJECT</x:v>
      </x:c>
    </x:row>
    <x:row r="124">
      <x:c r="A124" s="42" t="str">
        <x:v>APP2025000120</x:v>
      </x:c>
      <x:c r="B124" s="43" t="n">
        <x:f>VLOOKUP($A124,'01_申请数据'!$A$5:$L$204,3,FALSE)</x:f>
        <x:v>45679.57152777778</x:v>
      </x:c>
      <x:c r="C124" s="44" t="n">
        <x:f>VLOOKUP($A124,'01_申请数据'!$A$5:$L$204,5,FALSE)</x:f>
        <x:v>90000</x:v>
      </x:c>
      <x:c r="D124" s="45" t="n">
        <x:f>VLOOKUP($A124,'01_申请数据'!$A$5:$L$204,6,FALSE)</x:f>
        <x:v>36</x:v>
      </x:c>
      <x:c r="E124" s="44" t="n">
        <x:f>VLOOKUP($A124,'01_申请数据'!$A$5:$L$204,10,FALSE)</x:f>
        <x:v>24500</x:v>
      </x:c>
      <x:c r="F124" s="45" t="n">
        <x:f>VLOOKUP($A124,'02_征信特征'!$A$5:$J$204,3,FALSE)</x:f>
        <x:v>652</x:v>
      </x:c>
      <x:c r="G124" s="46" t="n">
        <x:f>VLOOKUP($A124,'02_征信特征'!$A$5:$J$204,4,FALSE)</x:f>
        <x:v>0.335</x:v>
      </x:c>
      <x:c r="H124" s="45" t="n">
        <x:f>VLOOKUP($A124,'02_征信特征'!$A$5:$J$204,5,FALSE)</x:f>
        <x:v>4</x:v>
      </x:c>
      <x:c r="I124" s="45" t="n">
        <x:f>VLOOKUP($A124,'02_征信特征'!$A$5:$J$204,6,FALSE)</x:f>
        <x:v>0</x:v>
      </x:c>
      <x:c r="J124" s="45" t="n">
        <x:f>VLOOKUP($A124,'02_征信特征'!$A$5:$J$204,7,FALSE)</x:f>
        <x:v>0</x:v>
      </x:c>
      <x:c r="K124" s="45" t="n">
        <x:f>VLOOKUP($A124,'02_征信特征'!$A$5:$J$204,8,FALSE)</x:f>
        <x:v>4</x:v>
      </x:c>
      <x:c r="L124" s="42" t="str">
        <x:f>VLOOKUP($A124,'02_征信特征'!$A$5:$J$204,9,FALSE)</x:f>
        <x:v>N</x:v>
      </x:c>
      <x:c r="M124" s="42" t="str">
        <x:f>VLOOKUP($A124,'03_决策日志'!$A$5:$G$204,4,FALSE)</x:f>
        <x:v>PASS</x:v>
      </x:c>
      <x:c r="N124" s="42" t="str">
        <x:f>IFERROR(VLOOKUP($A124,'04_人工审核'!$A$5:$H$57,6,FALSE),"NOT_REQUIRED")</x:f>
        <x:v>NOT_REQUIRED</x:v>
      </x:c>
      <x:c r="O124" s="42" t="str">
        <x:f>IFERROR(VLOOKUP($A124,'05_贷后表现'!$A$5:$J$137,2,FALSE),"N")</x:f>
        <x:v>Y</x:v>
      </x:c>
      <x:c r="P124" s="42" t="str">
        <x:f>IFERROR(VLOOKUP($A124,'05_贷后表现'!$A$5:$J$137,6,FALSE),"")</x:f>
        <x:v>N</x:v>
      </x:c>
      <x:c r="Q124" s="42" t="str">
        <x:f>IFERROR(VLOOKUP($A124,'05_贷后表现'!$A$5:$J$137,7,FALSE),"")</x:f>
        <x:v>N</x:v>
      </x:c>
      <x:c r="R124" s="45" t="n">
        <x:f>IFERROR(VLOOKUP($A124,'05_贷后表现'!$A$5:$J$137,8,FALSE),"")</x:f>
        <x:v>10</x:v>
      </x:c>
      <x:c r="S124" s="35" t="str">
        <x:f>IF(F124&lt;500,"REJECT",IF(OR(I124&gt;=2,J124&gt;60),"REJECT",IF(F124&lt;560,"REVIEW",IF(G124="","REVIEW",IF(AND(L124&lt;&gt;"Y",G124&gt;0.7),"REVIEW","PASS")))))</x:f>
        <x:v>PASS</x:v>
      </x:c>
      <x:c r="T124" s="35" t="str">
        <x:f>M124&amp;"→"&amp;S124</x:f>
        <x:v>PASS→PASS</x:v>
      </x:c>
    </x:row>
    <x:row r="125">
      <x:c r="A125" s="42" t="str">
        <x:v>APP2025000121</x:v>
      </x:c>
      <x:c r="B125" s="43" t="n">
        <x:f>VLOOKUP($A125,'01_申请数据'!$A$5:$L$204,3,FALSE)</x:f>
        <x:v>45784.68125</x:v>
      </x:c>
      <x:c r="C125" s="44" t="n">
        <x:f>VLOOKUP($A125,'01_申请数据'!$A$5:$L$204,5,FALSE)</x:f>
        <x:v>137000</x:v>
      </x:c>
      <x:c r="D125" s="45" t="n">
        <x:f>VLOOKUP($A125,'01_申请数据'!$A$5:$L$204,6,FALSE)</x:f>
        <x:v>36</x:v>
      </x:c>
      <x:c r="E125" s="44" t="n">
        <x:f>VLOOKUP($A125,'01_申请数据'!$A$5:$L$204,10,FALSE)</x:f>
        <x:v>20100</x:v>
      </x:c>
      <x:c r="F125" s="45" t="n">
        <x:f>VLOOKUP($A125,'02_征信特征'!$A$5:$J$204,3,FALSE)</x:f>
        <x:v>704</x:v>
      </x:c>
      <x:c r="G125" s="46" t="n">
        <x:f>VLOOKUP($A125,'02_征信特征'!$A$5:$J$204,4,FALSE)</x:f>
        <x:v>0.378</x:v>
      </x:c>
      <x:c r="H125" s="45" t="n">
        <x:f>VLOOKUP($A125,'02_征信特征'!$A$5:$J$204,5,FALSE)</x:f>
        <x:v>3</x:v>
      </x:c>
      <x:c r="I125" s="45" t="n">
        <x:f>VLOOKUP($A125,'02_征信特征'!$A$5:$J$204,6,FALSE)</x:f>
        <x:v>0</x:v>
      </x:c>
      <x:c r="J125" s="45" t="n">
        <x:f>VLOOKUP($A125,'02_征信特征'!$A$5:$J$204,7,FALSE)</x:f>
        <x:v>0</x:v>
      </x:c>
      <x:c r="K125" s="45" t="n">
        <x:f>VLOOKUP($A125,'02_征信特征'!$A$5:$J$204,8,FALSE)</x:f>
        <x:v>4</x:v>
      </x:c>
      <x:c r="L125" s="42" t="str">
        <x:f>VLOOKUP($A125,'02_征信特征'!$A$5:$J$204,9,FALSE)</x:f>
        <x:v>N</x:v>
      </x:c>
      <x:c r="M125" s="42" t="str">
        <x:f>VLOOKUP($A125,'03_决策日志'!$A$5:$G$204,4,FALSE)</x:f>
        <x:v>PASS</x:v>
      </x:c>
      <x:c r="N125" s="42" t="str">
        <x:f>IFERROR(VLOOKUP($A125,'04_人工审核'!$A$5:$H$57,6,FALSE),"NOT_REQUIRED")</x:f>
        <x:v>NOT_REQUIRED</x:v>
      </x:c>
      <x:c r="O125" s="42" t="str">
        <x:f>IFERROR(VLOOKUP($A125,'05_贷后表现'!$A$5:$J$137,2,FALSE),"N")</x:f>
        <x:v>Y</x:v>
      </x:c>
      <x:c r="P125" s="42" t="str">
        <x:f>IFERROR(VLOOKUP($A125,'05_贷后表现'!$A$5:$J$137,6,FALSE),"")</x:f>
        <x:v>N</x:v>
      </x:c>
      <x:c r="Q125" s="42" t="str">
        <x:f>IFERROR(VLOOKUP($A125,'05_贷后表现'!$A$5:$J$137,7,FALSE),"")</x:f>
        <x:v>N</x:v>
      </x:c>
      <x:c r="R125" s="45" t="n">
        <x:f>IFERROR(VLOOKUP($A125,'05_贷后表现'!$A$5:$J$137,8,FALSE),"")</x:f>
        <x:v>12</x:v>
      </x:c>
      <x:c r="S125" s="35" t="str">
        <x:f>IF(F125&lt;500,"REJECT",IF(OR(I125&gt;=2,J125&gt;60),"REJECT",IF(F125&lt;560,"REVIEW",IF(G125="","REVIEW",IF(AND(L125&lt;&gt;"Y",G125&gt;0.7),"REVIEW","PASS")))))</x:f>
        <x:v>PASS</x:v>
      </x:c>
      <x:c r="T125" s="35" t="str">
        <x:f>M125&amp;"→"&amp;S125</x:f>
        <x:v>PASS→PASS</x:v>
      </x:c>
    </x:row>
    <x:row r="126">
      <x:c r="A126" s="42" t="str">
        <x:v>APP2025000122</x:v>
      </x:c>
      <x:c r="B126" s="43" t="n">
        <x:f>VLOOKUP($A126,'01_申请数据'!$A$5:$L$204,3,FALSE)</x:f>
        <x:v>45701.4625</x:v>
      </x:c>
      <x:c r="C126" s="44" t="n">
        <x:f>VLOOKUP($A126,'01_申请数据'!$A$5:$L$204,5,FALSE)</x:f>
        <x:v>15000</x:v>
      </x:c>
      <x:c r="D126" s="45" t="n">
        <x:f>VLOOKUP($A126,'01_申请数据'!$A$5:$L$204,6,FALSE)</x:f>
        <x:v>24</x:v>
      </x:c>
      <x:c r="E126" s="44" t="n">
        <x:f>VLOOKUP($A126,'01_申请数据'!$A$5:$L$204,10,FALSE)</x:f>
        <x:v>16000</x:v>
      </x:c>
      <x:c r="F126" s="45" t="n">
        <x:f>VLOOKUP($A126,'02_征信特征'!$A$5:$J$204,3,FALSE)</x:f>
        <x:v>596</x:v>
      </x:c>
      <x:c r="G126" s="46" t="n">
        <x:f>VLOOKUP($A126,'02_征信特征'!$A$5:$J$204,4,FALSE)</x:f>
        <x:v>0.528</x:v>
      </x:c>
      <x:c r="H126" s="45" t="n">
        <x:f>VLOOKUP($A126,'02_征信特征'!$A$5:$J$204,5,FALSE)</x:f>
        <x:v>1</x:v>
      </x:c>
      <x:c r="I126" s="45" t="n">
        <x:f>VLOOKUP($A126,'02_征信特征'!$A$5:$J$204,6,FALSE)</x:f>
        <x:v>1</x:v>
      </x:c>
      <x:c r="J126" s="45" t="n">
        <x:f>VLOOKUP($A126,'02_征信特征'!$A$5:$J$204,7,FALSE)</x:f>
        <x:v>79</x:v>
      </x:c>
      <x:c r="K126" s="45" t="n">
        <x:f>VLOOKUP($A126,'02_征信特征'!$A$5:$J$204,8,FALSE)</x:f>
        <x:v>8</x:v>
      </x:c>
      <x:c r="L126" s="42" t="str">
        <x:f>VLOOKUP($A126,'02_征信特征'!$A$5:$J$204,9,FALSE)</x:f>
        <x:v>N</x:v>
      </x:c>
      <x:c r="M126" s="42" t="str">
        <x:f>VLOOKUP($A126,'03_决策日志'!$A$5:$G$204,4,FALSE)</x:f>
        <x:v>PASS</x:v>
      </x:c>
      <x:c r="N126" s="42" t="str">
        <x:f>IFERROR(VLOOKUP($A126,'04_人工审核'!$A$5:$H$57,6,FALSE),"NOT_REQUIRED")</x:f>
        <x:v>NOT_REQUIRED</x:v>
      </x:c>
      <x:c r="O126" s="42" t="str">
        <x:f>IFERROR(VLOOKUP($A126,'05_贷后表现'!$A$5:$J$137,2,FALSE),"N")</x:f>
        <x:v>Y</x:v>
      </x:c>
      <x:c r="P126" s="42" t="str">
        <x:f>IFERROR(VLOOKUP($A126,'05_贷后表现'!$A$5:$J$137,6,FALSE),"")</x:f>
        <x:v>N</x:v>
      </x:c>
      <x:c r="Q126" s="42" t="str">
        <x:f>IFERROR(VLOOKUP($A126,'05_贷后表现'!$A$5:$J$137,7,FALSE),"")</x:f>
        <x:v>N</x:v>
      </x:c>
      <x:c r="R126" s="45" t="n">
        <x:f>IFERROR(VLOOKUP($A126,'05_贷后表现'!$A$5:$J$137,8,FALSE),"")</x:f>
        <x:v>13</x:v>
      </x:c>
      <x:c r="S126" s="35" t="str">
        <x:f>IF(F126&lt;500,"REJECT",IF(OR(I126&gt;=2,J126&gt;60),"REJECT",IF(F126&lt;560,"REVIEW",IF(G126="","REVIEW",IF(AND(L126&lt;&gt;"Y",G126&gt;0.7),"REVIEW","PASS")))))</x:f>
        <x:v>REJECT</x:v>
      </x:c>
      <x:c r="T126" s="35" t="str">
        <x:f>M126&amp;"→"&amp;S126</x:f>
        <x:v>PASS→REJECT</x:v>
      </x:c>
    </x:row>
    <x:row r="127">
      <x:c r="A127" s="42" t="str">
        <x:v>APP2025000123</x:v>
      </x:c>
      <x:c r="B127" s="43" t="n">
        <x:f>VLOOKUP($A127,'01_申请数据'!$A$5:$L$204,3,FALSE)</x:f>
        <x:v>45829.69097222222</x:v>
      </x:c>
      <x:c r="C127" s="44" t="n">
        <x:f>VLOOKUP($A127,'01_申请数据'!$A$5:$L$204,5,FALSE)</x:f>
        <x:v>21000</x:v>
      </x:c>
      <x:c r="D127" s="45" t="n">
        <x:f>VLOOKUP($A127,'01_申请数据'!$A$5:$L$204,6,FALSE)</x:f>
        <x:v>12</x:v>
      </x:c>
      <x:c r="E127" s="44" t="n">
        <x:f>VLOOKUP($A127,'01_申请数据'!$A$5:$L$204,10,FALSE)</x:f>
        <x:v>23600</x:v>
      </x:c>
      <x:c r="F127" s="45" t="n">
        <x:f>VLOOKUP($A127,'02_征信特征'!$A$5:$J$204,3,FALSE)</x:f>
        <x:v>670</x:v>
      </x:c>
      <x:c r="G127" s="46" t="n">
        <x:f>VLOOKUP($A127,'02_征信特征'!$A$5:$J$204,4,FALSE)</x:f>
        <x:v>0.282</x:v>
      </x:c>
      <x:c r="H127" s="45" t="n">
        <x:f>VLOOKUP($A127,'02_征信特征'!$A$5:$J$204,5,FALSE)</x:f>
        <x:v>2</x:v>
      </x:c>
      <x:c r="I127" s="45" t="n">
        <x:f>VLOOKUP($A127,'02_征信特征'!$A$5:$J$204,6,FALSE)</x:f>
        <x:v>0</x:v>
      </x:c>
      <x:c r="J127" s="45" t="n">
        <x:f>VLOOKUP($A127,'02_征信特征'!$A$5:$J$204,7,FALSE)</x:f>
        <x:v>0</x:v>
      </x:c>
      <x:c r="K127" s="45" t="n">
        <x:f>VLOOKUP($A127,'02_征信特征'!$A$5:$J$204,8,FALSE)</x:f>
        <x:v>10</x:v>
      </x:c>
      <x:c r="L127" s="42" t="str">
        <x:f>VLOOKUP($A127,'02_征信特征'!$A$5:$J$204,9,FALSE)</x:f>
        <x:v>N</x:v>
      </x:c>
      <x:c r="M127" s="42" t="str">
        <x:f>VLOOKUP($A127,'03_决策日志'!$A$5:$G$204,4,FALSE)</x:f>
        <x:v>PASS</x:v>
      </x:c>
      <x:c r="N127" s="42" t="str">
        <x:f>IFERROR(VLOOKUP($A127,'04_人工审核'!$A$5:$H$57,6,FALSE),"NOT_REQUIRED")</x:f>
        <x:v>NOT_REQUIRED</x:v>
      </x:c>
      <x:c r="O127" s="42" t="str">
        <x:f>IFERROR(VLOOKUP($A127,'05_贷后表现'!$A$5:$J$137,2,FALSE),"N")</x:f>
        <x:v>Y</x:v>
      </x:c>
      <x:c r="P127" s="42" t="str">
        <x:f>IFERROR(VLOOKUP($A127,'05_贷后表现'!$A$5:$J$137,6,FALSE),"")</x:f>
        <x:v>N</x:v>
      </x:c>
      <x:c r="Q127" s="42" t="str">
        <x:f>IFERROR(VLOOKUP($A127,'05_贷后表现'!$A$5:$J$137,7,FALSE),"")</x:f>
        <x:v>N</x:v>
      </x:c>
      <x:c r="R127" s="45" t="n">
        <x:f>IFERROR(VLOOKUP($A127,'05_贷后表现'!$A$5:$J$137,8,FALSE),"")</x:f>
        <x:v>8</x:v>
      </x:c>
      <x:c r="S127" s="35" t="str">
        <x:f>IF(F127&lt;500,"REJECT",IF(OR(I127&gt;=2,J127&gt;60),"REJECT",IF(F127&lt;560,"REVIEW",IF(G127="","REVIEW",IF(AND(L127&lt;&gt;"Y",G127&gt;0.7),"REVIEW","PASS")))))</x:f>
        <x:v>PASS</x:v>
      </x:c>
      <x:c r="T127" s="35" t="str">
        <x:f>M127&amp;"→"&amp;S127</x:f>
        <x:v>PASS→PASS</x:v>
      </x:c>
    </x:row>
    <x:row r="128">
      <x:c r="A128" s="42" t="str">
        <x:v>APP2025000124</x:v>
      </x:c>
      <x:c r="B128" s="43" t="n">
        <x:f>VLOOKUP($A128,'01_申请数据'!$A$5:$L$204,3,FALSE)</x:f>
        <x:v>45765.54722222222</x:v>
      </x:c>
      <x:c r="C128" s="44" t="n">
        <x:f>VLOOKUP($A128,'01_申请数据'!$A$5:$L$204,5,FALSE)</x:f>
        <x:v>117000</x:v>
      </x:c>
      <x:c r="D128" s="45" t="n">
        <x:f>VLOOKUP($A128,'01_申请数据'!$A$5:$L$204,6,FALSE)</x:f>
        <x:v>6</x:v>
      </x:c>
      <x:c r="E128" s="44" t="n">
        <x:f>VLOOKUP($A128,'01_申请数据'!$A$5:$L$204,10,FALSE)</x:f>
        <x:v>4700</x:v>
      </x:c>
      <x:c r="F128" s="45" t="n">
        <x:f>VLOOKUP($A128,'02_征信特征'!$A$5:$J$204,3,FALSE)</x:f>
        <x:v>597</x:v>
      </x:c>
      <x:c r="G128" s="46" t="n">
        <x:f>VLOOKUP($A128,'02_征信特征'!$A$5:$J$204,4,FALSE)</x:f>
        <x:v>0.994</x:v>
      </x:c>
      <x:c r="H128" s="45" t="n">
        <x:f>VLOOKUP($A128,'02_征信特征'!$A$5:$J$204,5,FALSE)</x:f>
        <x:v>0</x:v>
      </x:c>
      <x:c r="I128" s="45" t="n">
        <x:f>VLOOKUP($A128,'02_征信特征'!$A$5:$J$204,6,FALSE)</x:f>
        <x:v>0</x:v>
      </x:c>
      <x:c r="J128" s="45" t="n">
        <x:f>VLOOKUP($A128,'02_征信特征'!$A$5:$J$204,7,FALSE)</x:f>
        <x:v>0</x:v>
      </x:c>
      <x:c r="K128" s="45" t="n">
        <x:f>VLOOKUP($A128,'02_征信特征'!$A$5:$J$204,8,FALSE)</x:f>
        <x:v>7</x:v>
      </x:c>
      <x:c r="L128" s="42" t="str">
        <x:f>VLOOKUP($A128,'02_征信特征'!$A$5:$J$204,9,FALSE)</x:f>
        <x:v>N</x:v>
      </x:c>
      <x:c r="M128" s="42" t="str">
        <x:f>VLOOKUP($A128,'03_决策日志'!$A$5:$G$204,4,FALSE)</x:f>
        <x:v>REVIEW</x:v>
      </x:c>
      <x:c r="N128" s="42" t="str">
        <x:f>IFERROR(VLOOKUP($A128,'04_人工审核'!$A$5:$H$57,6,FALSE),"NOT_REQUIRED")</x:f>
        <x:v>APPROVE</x:v>
      </x:c>
      <x:c r="O128" s="42" t="str">
        <x:f>IFERROR(VLOOKUP($A128,'05_贷后表现'!$A$5:$J$137,2,FALSE),"N")</x:f>
        <x:v>Y</x:v>
      </x:c>
      <x:c r="P128" s="42" t="str">
        <x:f>IFERROR(VLOOKUP($A128,'05_贷后表现'!$A$5:$J$137,6,FALSE),"")</x:f>
        <x:v>N</x:v>
      </x:c>
      <x:c r="Q128" s="42" t="str">
        <x:f>IFERROR(VLOOKUP($A128,'05_贷后表现'!$A$5:$J$137,7,FALSE),"")</x:f>
        <x:v>N</x:v>
      </x:c>
      <x:c r="R128" s="45" t="n">
        <x:f>IFERROR(VLOOKUP($A128,'05_贷后表现'!$A$5:$J$137,8,FALSE),"")</x:f>
        <x:v>14</x:v>
      </x:c>
      <x:c r="S128" s="35" t="str">
        <x:f>IF(F128&lt;500,"REJECT",IF(OR(I128&gt;=2,J128&gt;60),"REJECT",IF(F128&lt;560,"REVIEW",IF(G128="","REVIEW",IF(AND(L128&lt;&gt;"Y",G128&gt;0.7),"REVIEW","PASS")))))</x:f>
        <x:v>REVIEW</x:v>
      </x:c>
      <x:c r="T128" s="35" t="str">
        <x:f>M128&amp;"→"&amp;S128</x:f>
        <x:v>REVIEW→REVIEW</x:v>
      </x:c>
    </x:row>
    <x:row r="129">
      <x:c r="A129" s="42" t="str">
        <x:v>APP2025000125</x:v>
      </x:c>
      <x:c r="B129" s="43" t="n">
        <x:f>VLOOKUP($A129,'01_申请数据'!$A$5:$L$204,3,FALSE)</x:f>
        <x:v>45816.4</x:v>
      </x:c>
      <x:c r="C129" s="44" t="n">
        <x:f>VLOOKUP($A129,'01_申请数据'!$A$5:$L$204,5,FALSE)</x:f>
        <x:v>127000</x:v>
      </x:c>
      <x:c r="D129" s="45" t="n">
        <x:f>VLOOKUP($A129,'01_申请数据'!$A$5:$L$204,6,FALSE)</x:f>
        <x:v>6</x:v>
      </x:c>
      <x:c r="E129" s="44" t="n">
        <x:f>VLOOKUP($A129,'01_申请数据'!$A$5:$L$204,10,FALSE)</x:f>
        <x:v>15300</x:v>
      </x:c>
      <x:c r="F129" s="45" t="n">
        <x:f>VLOOKUP($A129,'02_征信特征'!$A$5:$J$204,3,FALSE)</x:f>
        <x:v>511</x:v>
      </x:c>
      <x:c r="G129" s="46" t="n">
        <x:f>VLOOKUP($A129,'02_征信特征'!$A$5:$J$204,4,FALSE)</x:f>
        <x:v>0.41</x:v>
      </x:c>
      <x:c r="H129" s="45" t="n">
        <x:f>VLOOKUP($A129,'02_征信特征'!$A$5:$J$204,5,FALSE)</x:f>
        <x:v>0</x:v>
      </x:c>
      <x:c r="I129" s="45" t="n">
        <x:f>VLOOKUP($A129,'02_征信特征'!$A$5:$J$204,6,FALSE)</x:f>
        <x:v>5</x:v>
      </x:c>
      <x:c r="J129" s="45" t="n">
        <x:f>VLOOKUP($A129,'02_征信特征'!$A$5:$J$204,7,FALSE)</x:f>
        <x:v>134</x:v>
      </x:c>
      <x:c r="K129" s="45" t="n">
        <x:f>VLOOKUP($A129,'02_征信特征'!$A$5:$J$204,8,FALSE)</x:f>
        <x:v>10</x:v>
      </x:c>
      <x:c r="L129" s="42" t="str">
        <x:f>VLOOKUP($A129,'02_征信特征'!$A$5:$J$204,9,FALSE)</x:f>
        <x:v>N</x:v>
      </x:c>
      <x:c r="M129" s="42" t="str">
        <x:f>VLOOKUP($A129,'03_决策日志'!$A$5:$G$204,4,FALSE)</x:f>
        <x:v>REJECT</x:v>
      </x:c>
      <x:c r="N129" s="42" t="str">
        <x:f>IFERROR(VLOOKUP($A129,'04_人工审核'!$A$5:$H$57,6,FALSE),"NOT_REQUIRED")</x:f>
        <x:v>NOT_REQUIRED</x:v>
      </x:c>
      <x:c r="O129" s="42" t="str">
        <x:f>IFERROR(VLOOKUP($A129,'05_贷后表现'!$A$5:$J$137,2,FALSE),"N")</x:f>
        <x:v>N</x:v>
      </x:c>
      <x:c r="P129" s="42" t="str">
        <x:f>IFERROR(VLOOKUP($A129,'05_贷后表现'!$A$5:$J$137,6,FALSE),"")</x:f>
      </x:c>
      <x:c r="Q129" s="42" t="str">
        <x:f>IFERROR(VLOOKUP($A129,'05_贷后表现'!$A$5:$J$137,7,FALSE),"")</x:f>
      </x:c>
      <x:c r="R129" s="45" t="str">
        <x:f>IFERROR(VLOOKUP($A129,'05_贷后表现'!$A$5:$J$137,8,FALSE),"")</x:f>
      </x:c>
      <x:c r="S129" s="35" t="str">
        <x:f>IF(F129&lt;500,"REJECT",IF(OR(I129&gt;=2,J129&gt;60),"REJECT",IF(F129&lt;560,"REVIEW",IF(G129="","REVIEW",IF(AND(L129&lt;&gt;"Y",G129&gt;0.7),"REVIEW","PASS")))))</x:f>
        <x:v>REJECT</x:v>
      </x:c>
      <x:c r="T129" s="35" t="str">
        <x:f>M129&amp;"→"&amp;S129</x:f>
        <x:v>REJECT→REJECT</x:v>
      </x:c>
    </x:row>
    <x:row r="130">
      <x:c r="A130" s="42" t="str">
        <x:v>APP2025000126</x:v>
      </x:c>
      <x:c r="B130" s="43" t="n">
        <x:f>VLOOKUP($A130,'01_申请数据'!$A$5:$L$204,3,FALSE)</x:f>
        <x:v>45702.70277777778</x:v>
      </x:c>
      <x:c r="C130" s="44" t="n">
        <x:f>VLOOKUP($A130,'01_申请数据'!$A$5:$L$204,5,FALSE)</x:f>
        <x:v>48000</x:v>
      </x:c>
      <x:c r="D130" s="45" t="n">
        <x:f>VLOOKUP($A130,'01_申请数据'!$A$5:$L$204,6,FALSE)</x:f>
        <x:v>24</x:v>
      </x:c>
      <x:c r="E130" s="44" t="n">
        <x:f>VLOOKUP($A130,'01_申请数据'!$A$5:$L$204,10,FALSE)</x:f>
        <x:v>17000</x:v>
      </x:c>
      <x:c r="F130" s="45" t="n">
        <x:f>VLOOKUP($A130,'02_征信特征'!$A$5:$J$204,3,FALSE)</x:f>
        <x:v>628</x:v>
      </x:c>
      <x:c r="G130" s="46" t="n">
        <x:f>VLOOKUP($A130,'02_征信特征'!$A$5:$J$204,4,FALSE)</x:f>
        <x:v>0.185</x:v>
      </x:c>
      <x:c r="H130" s="45" t="n">
        <x:f>VLOOKUP($A130,'02_征信特征'!$A$5:$J$204,5,FALSE)</x:f>
        <x:v>4</x:v>
      </x:c>
      <x:c r="I130" s="45" t="n">
        <x:f>VLOOKUP($A130,'02_征信特征'!$A$5:$J$204,6,FALSE)</x:f>
        <x:v>1</x:v>
      </x:c>
      <x:c r="J130" s="45" t="n">
        <x:f>VLOOKUP($A130,'02_征信特征'!$A$5:$J$204,7,FALSE)</x:f>
        <x:v>54</x:v>
      </x:c>
      <x:c r="K130" s="45" t="n">
        <x:f>VLOOKUP($A130,'02_征信特征'!$A$5:$J$204,8,FALSE)</x:f>
        <x:v>3</x:v>
      </x:c>
      <x:c r="L130" s="42" t="str">
        <x:f>VLOOKUP($A130,'02_征信特征'!$A$5:$J$204,9,FALSE)</x:f>
        <x:v>N</x:v>
      </x:c>
      <x:c r="M130" s="42" t="str">
        <x:f>VLOOKUP($A130,'03_决策日志'!$A$5:$G$204,4,FALSE)</x:f>
        <x:v>PASS</x:v>
      </x:c>
      <x:c r="N130" s="42" t="str">
        <x:f>IFERROR(VLOOKUP($A130,'04_人工审核'!$A$5:$H$57,6,FALSE),"NOT_REQUIRED")</x:f>
        <x:v>NOT_REQUIRED</x:v>
      </x:c>
      <x:c r="O130" s="42" t="str">
        <x:f>IFERROR(VLOOKUP($A130,'05_贷后表现'!$A$5:$J$137,2,FALSE),"N")</x:f>
        <x:v>N</x:v>
      </x:c>
      <x:c r="P130" s="42" t="str">
        <x:f>IFERROR(VLOOKUP($A130,'05_贷后表现'!$A$5:$J$137,6,FALSE),"")</x:f>
      </x:c>
      <x:c r="Q130" s="42" t="str">
        <x:f>IFERROR(VLOOKUP($A130,'05_贷后表现'!$A$5:$J$137,7,FALSE),"")</x:f>
      </x:c>
      <x:c r="R130" s="45" t="str">
        <x:f>IFERROR(VLOOKUP($A130,'05_贷后表现'!$A$5:$J$137,8,FALSE),"")</x:f>
      </x:c>
      <x:c r="S130" s="35" t="str">
        <x:f>IF(F130&lt;500,"REJECT",IF(OR(I130&gt;=2,J130&gt;60),"REJECT",IF(F130&lt;560,"REVIEW",IF(G130="","REVIEW",IF(AND(L130&lt;&gt;"Y",G130&gt;0.7),"REVIEW","PASS")))))</x:f>
        <x:v>PASS</x:v>
      </x:c>
      <x:c r="T130" s="35" t="str">
        <x:f>M130&amp;"→"&amp;S130</x:f>
        <x:v>PASS→PASS</x:v>
      </x:c>
    </x:row>
    <x:row r="131">
      <x:c r="A131" s="42" t="str">
        <x:v>APP2025000127</x:v>
      </x:c>
      <x:c r="B131" s="43" t="n">
        <x:f>VLOOKUP($A131,'01_申请数据'!$A$5:$L$204,3,FALSE)</x:f>
        <x:v>45828.6</x:v>
      </x:c>
      <x:c r="C131" s="44" t="n">
        <x:f>VLOOKUP($A131,'01_申请数据'!$A$5:$L$204,5,FALSE)</x:f>
        <x:v>96000</x:v>
      </x:c>
      <x:c r="D131" s="45" t="n">
        <x:f>VLOOKUP($A131,'01_申请数据'!$A$5:$L$204,6,FALSE)</x:f>
        <x:v>12</x:v>
      </x:c>
      <x:c r="E131" s="44" t="n">
        <x:f>VLOOKUP($A131,'01_申请数据'!$A$5:$L$204,10,FALSE)</x:f>
        <x:v>6800</x:v>
      </x:c>
      <x:c r="F131" s="45" t="n">
        <x:f>VLOOKUP($A131,'02_征信特征'!$A$5:$J$204,3,FALSE)</x:f>
        <x:v>670</x:v>
      </x:c>
      <x:c r="G131" s="46" t="n">
        <x:f>VLOOKUP($A131,'02_征信特征'!$A$5:$J$204,4,FALSE)</x:f>
        <x:v>0.481</x:v>
      </x:c>
      <x:c r="H131" s="45" t="n">
        <x:f>VLOOKUP($A131,'02_征信特征'!$A$5:$J$204,5,FALSE)</x:f>
        <x:v>2</x:v>
      </x:c>
      <x:c r="I131" s="45" t="n">
        <x:f>VLOOKUP($A131,'02_征信特征'!$A$5:$J$204,6,FALSE)</x:f>
        <x:v>0</x:v>
      </x:c>
      <x:c r="J131" s="45" t="n">
        <x:f>VLOOKUP($A131,'02_征信特征'!$A$5:$J$204,7,FALSE)</x:f>
        <x:v>0</x:v>
      </x:c>
      <x:c r="K131" s="45" t="n">
        <x:f>VLOOKUP($A131,'02_征信特征'!$A$5:$J$204,8,FALSE)</x:f>
        <x:v>11</x:v>
      </x:c>
      <x:c r="L131" s="42" t="str">
        <x:f>VLOOKUP($A131,'02_征信特征'!$A$5:$J$204,9,FALSE)</x:f>
        <x:v>N</x:v>
      </x:c>
      <x:c r="M131" s="42" t="str">
        <x:f>VLOOKUP($A131,'03_决策日志'!$A$5:$G$204,4,FALSE)</x:f>
        <x:v>PASS</x:v>
      </x:c>
      <x:c r="N131" s="42" t="str">
        <x:f>IFERROR(VLOOKUP($A131,'04_人工审核'!$A$5:$H$57,6,FALSE),"NOT_REQUIRED")</x:f>
        <x:v>NOT_REQUIRED</x:v>
      </x:c>
      <x:c r="O131" s="42" t="str">
        <x:f>IFERROR(VLOOKUP($A131,'05_贷后表现'!$A$5:$J$137,2,FALSE),"N")</x:f>
        <x:v>Y</x:v>
      </x:c>
      <x:c r="P131" s="42" t="str">
        <x:f>IFERROR(VLOOKUP($A131,'05_贷后表现'!$A$5:$J$137,6,FALSE),"")</x:f>
        <x:v>N</x:v>
      </x:c>
      <x:c r="Q131" s="42" t="str">
        <x:f>IFERROR(VLOOKUP($A131,'05_贷后表现'!$A$5:$J$137,7,FALSE),"")</x:f>
        <x:v>N</x:v>
      </x:c>
      <x:c r="R131" s="45" t="n">
        <x:f>IFERROR(VLOOKUP($A131,'05_贷后表现'!$A$5:$J$137,8,FALSE),"")</x:f>
        <x:v>13</x:v>
      </x:c>
      <x:c r="S131" s="35" t="str">
        <x:f>IF(F131&lt;500,"REJECT",IF(OR(I131&gt;=2,J131&gt;60),"REJECT",IF(F131&lt;560,"REVIEW",IF(G131="","REVIEW",IF(AND(L131&lt;&gt;"Y",G131&gt;0.7),"REVIEW","PASS")))))</x:f>
        <x:v>PASS</x:v>
      </x:c>
      <x:c r="T131" s="35" t="str">
        <x:f>M131&amp;"→"&amp;S131</x:f>
        <x:v>PASS→PASS</x:v>
      </x:c>
    </x:row>
    <x:row r="132">
      <x:c r="A132" s="42" t="str">
        <x:v>APP2025000128</x:v>
      </x:c>
      <x:c r="B132" s="43" t="n">
        <x:f>VLOOKUP($A132,'01_申请数据'!$A$5:$L$204,3,FALSE)</x:f>
        <x:v>45679.70416666667</x:v>
      </x:c>
      <x:c r="C132" s="44" t="n">
        <x:f>VLOOKUP($A132,'01_申请数据'!$A$5:$L$204,5,FALSE)</x:f>
        <x:v>32000</x:v>
      </x:c>
      <x:c r="D132" s="45" t="n">
        <x:f>VLOOKUP($A132,'01_申请数据'!$A$5:$L$204,6,FALSE)</x:f>
        <x:v>24</x:v>
      </x:c>
      <x:c r="E132" s="44" t="n">
        <x:f>VLOOKUP($A132,'01_申请数据'!$A$5:$L$204,10,FALSE)</x:f>
        <x:v>8200</x:v>
      </x:c>
      <x:c r="F132" s="45" t="n">
        <x:f>VLOOKUP($A132,'02_征信特征'!$A$5:$J$204,3,FALSE)</x:f>
        <x:v>560</x:v>
      </x:c>
      <x:c r="G132" s="46" t="n">
        <x:f>VLOOKUP($A132,'02_征信特征'!$A$5:$J$204,4,FALSE)</x:f>
        <x:v>0.847</x:v>
      </x:c>
      <x:c r="H132" s="45" t="n">
        <x:f>VLOOKUP($A132,'02_征信特征'!$A$5:$J$204,5,FALSE)</x:f>
        <x:v>1</x:v>
      </x:c>
      <x:c r="I132" s="45" t="n">
        <x:f>VLOOKUP($A132,'02_征信特征'!$A$5:$J$204,6,FALSE)</x:f>
        <x:v>2</x:v>
      </x:c>
      <x:c r="J132" s="45" t="n">
        <x:f>VLOOKUP($A132,'02_征信特征'!$A$5:$J$204,7,FALSE)</x:f>
        <x:v>34</x:v>
      </x:c>
      <x:c r="K132" s="45" t="n">
        <x:f>VLOOKUP($A132,'02_征信特征'!$A$5:$J$204,8,FALSE)</x:f>
        <x:v>5</x:v>
      </x:c>
      <x:c r="L132" s="42" t="str">
        <x:f>VLOOKUP($A132,'02_征信特征'!$A$5:$J$204,9,FALSE)</x:f>
        <x:v>N</x:v>
      </x:c>
      <x:c r="M132" s="42" t="str">
        <x:f>VLOOKUP($A132,'03_决策日志'!$A$5:$G$204,4,FALSE)</x:f>
        <x:v>REVIEW</x:v>
      </x:c>
      <x:c r="N132" s="42" t="str">
        <x:f>IFERROR(VLOOKUP($A132,'04_人工审核'!$A$5:$H$57,6,FALSE),"NOT_REQUIRED")</x:f>
        <x:v>APPROVE</x:v>
      </x:c>
      <x:c r="O132" s="42" t="str">
        <x:f>IFERROR(VLOOKUP($A132,'05_贷后表现'!$A$5:$J$137,2,FALSE),"N")</x:f>
        <x:v>Y</x:v>
      </x:c>
      <x:c r="P132" s="42" t="str">
        <x:f>IFERROR(VLOOKUP($A132,'05_贷后表现'!$A$5:$J$137,6,FALSE),"")</x:f>
        <x:v>Y</x:v>
      </x:c>
      <x:c r="Q132" s="42" t="str">
        <x:f>IFERROR(VLOOKUP($A132,'05_贷后表现'!$A$5:$J$137,7,FALSE),"")</x:f>
        <x:v>Y</x:v>
      </x:c>
      <x:c r="R132" s="45" t="n">
        <x:f>IFERROR(VLOOKUP($A132,'05_贷后表现'!$A$5:$J$137,8,FALSE),"")</x:f>
        <x:v>6</x:v>
      </x:c>
      <x:c r="S132" s="35" t="str">
        <x:f>IF(F132&lt;500,"REJECT",IF(OR(I132&gt;=2,J132&gt;60),"REJECT",IF(F132&lt;560,"REVIEW",IF(G132="","REVIEW",IF(AND(L132&lt;&gt;"Y",G132&gt;0.7),"REVIEW","PASS")))))</x:f>
        <x:v>REJECT</x:v>
      </x:c>
      <x:c r="T132" s="35" t="str">
        <x:f>M132&amp;"→"&amp;S132</x:f>
        <x:v>REVIEW→REJECT</x:v>
      </x:c>
    </x:row>
    <x:row r="133">
      <x:c r="A133" s="42" t="str">
        <x:v>APP2025000129</x:v>
      </x:c>
      <x:c r="B133" s="43" t="n">
        <x:f>VLOOKUP($A133,'01_申请数据'!$A$5:$L$204,3,FALSE)</x:f>
        <x:v>45793.63611111111</x:v>
      </x:c>
      <x:c r="C133" s="44" t="n">
        <x:f>VLOOKUP($A133,'01_申请数据'!$A$5:$L$204,5,FALSE)</x:f>
        <x:v>10000</x:v>
      </x:c>
      <x:c r="D133" s="45" t="n">
        <x:f>VLOOKUP($A133,'01_申请数据'!$A$5:$L$204,6,FALSE)</x:f>
        <x:v>12</x:v>
      </x:c>
      <x:c r="E133" s="44" t="n">
        <x:f>VLOOKUP($A133,'01_申请数据'!$A$5:$L$204,10,FALSE)</x:f>
        <x:v>25400</x:v>
      </x:c>
      <x:c r="F133" s="45" t="n">
        <x:f>VLOOKUP($A133,'02_征信特征'!$A$5:$J$204,3,FALSE)</x:f>
        <x:v>674</x:v>
      </x:c>
      <x:c r="G133" s="46" t="n">
        <x:f>VLOOKUP($A133,'02_征信特征'!$A$5:$J$204,4,FALSE)</x:f>
        <x:v>0.792</x:v>
      </x:c>
      <x:c r="H133" s="45" t="n">
        <x:f>VLOOKUP($A133,'02_征信特征'!$A$5:$J$204,5,FALSE)</x:f>
        <x:v>5</x:v>
      </x:c>
      <x:c r="I133" s="45" t="n">
        <x:f>VLOOKUP($A133,'02_征信特征'!$A$5:$J$204,6,FALSE)</x:f>
        <x:v>0</x:v>
      </x:c>
      <x:c r="J133" s="45" t="n">
        <x:f>VLOOKUP($A133,'02_征信特征'!$A$5:$J$204,7,FALSE)</x:f>
        <x:v>0</x:v>
      </x:c>
      <x:c r="K133" s="45" t="n">
        <x:f>VLOOKUP($A133,'02_征信特征'!$A$5:$J$204,8,FALSE)</x:f>
        <x:v>11</x:v>
      </x:c>
      <x:c r="L133" s="42" t="str">
        <x:f>VLOOKUP($A133,'02_征信特征'!$A$5:$J$204,9,FALSE)</x:f>
        <x:v>N</x:v>
      </x:c>
      <x:c r="M133" s="42" t="str">
        <x:f>VLOOKUP($A133,'03_决策日志'!$A$5:$G$204,4,FALSE)</x:f>
        <x:v>PASS</x:v>
      </x:c>
      <x:c r="N133" s="42" t="str">
        <x:f>IFERROR(VLOOKUP($A133,'04_人工审核'!$A$5:$H$57,6,FALSE),"NOT_REQUIRED")</x:f>
        <x:v>NOT_REQUIRED</x:v>
      </x:c>
      <x:c r="O133" s="42" t="str">
        <x:f>IFERROR(VLOOKUP($A133,'05_贷后表现'!$A$5:$J$137,2,FALSE),"N")</x:f>
        <x:v>Y</x:v>
      </x:c>
      <x:c r="P133" s="42" t="str">
        <x:f>IFERROR(VLOOKUP($A133,'05_贷后表现'!$A$5:$J$137,6,FALSE),"")</x:f>
        <x:v>N</x:v>
      </x:c>
      <x:c r="Q133" s="42" t="str">
        <x:f>IFERROR(VLOOKUP($A133,'05_贷后表现'!$A$5:$J$137,7,FALSE),"")</x:f>
        <x:v>N</x:v>
      </x:c>
      <x:c r="R133" s="45" t="n">
        <x:f>IFERROR(VLOOKUP($A133,'05_贷后表现'!$A$5:$J$137,8,FALSE),"")</x:f>
        <x:v>13</x:v>
      </x:c>
      <x:c r="S133" s="35" t="str">
        <x:f>IF(F133&lt;500,"REJECT",IF(OR(I133&gt;=2,J133&gt;60),"REJECT",IF(F133&lt;560,"REVIEW",IF(G133="","REVIEW",IF(AND(L133&lt;&gt;"Y",G133&gt;0.7),"REVIEW","PASS")))))</x:f>
        <x:v>REVIEW</x:v>
      </x:c>
      <x:c r="T133" s="35" t="str">
        <x:f>M133&amp;"→"&amp;S133</x:f>
        <x:v>PASS→REVIEW</x:v>
      </x:c>
    </x:row>
    <x:row r="134">
      <x:c r="A134" s="42" t="str">
        <x:v>APP2025000130</x:v>
      </x:c>
      <x:c r="B134" s="43" t="n">
        <x:f>VLOOKUP($A134,'01_申请数据'!$A$5:$L$204,3,FALSE)</x:f>
        <x:v>45706.65069444444</x:v>
      </x:c>
      <x:c r="C134" s="44" t="n">
        <x:f>VLOOKUP($A134,'01_申请数据'!$A$5:$L$204,5,FALSE)</x:f>
        <x:v>111000</x:v>
      </x:c>
      <x:c r="D134" s="45" t="n">
        <x:f>VLOOKUP($A134,'01_申请数据'!$A$5:$L$204,6,FALSE)</x:f>
        <x:v>36</x:v>
      </x:c>
      <x:c r="E134" s="44" t="n">
        <x:f>VLOOKUP($A134,'01_申请数据'!$A$5:$L$204,10,FALSE)</x:f>
        <x:v>7600</x:v>
      </x:c>
      <x:c r="F134" s="45" t="n">
        <x:f>VLOOKUP($A134,'02_征信特征'!$A$5:$J$204,3,FALSE)</x:f>
        <x:v>572</x:v>
      </x:c>
      <x:c r="G134" s="46" t="n">
        <x:f>VLOOKUP($A134,'02_征信特征'!$A$5:$J$204,4,FALSE)</x:f>
        <x:v>0.546</x:v>
      </x:c>
      <x:c r="H134" s="45" t="n">
        <x:f>VLOOKUP($A134,'02_征信特征'!$A$5:$J$204,5,FALSE)</x:f>
        <x:v>4</x:v>
      </x:c>
      <x:c r="I134" s="45" t="n">
        <x:f>VLOOKUP($A134,'02_征信特征'!$A$5:$J$204,6,FALSE)</x:f>
        <x:v>1</x:v>
      </x:c>
      <x:c r="J134" s="45" t="n">
        <x:f>VLOOKUP($A134,'02_征信特征'!$A$5:$J$204,7,FALSE)</x:f>
        <x:v>15</x:v>
      </x:c>
      <x:c r="K134" s="45" t="n">
        <x:f>VLOOKUP($A134,'02_征信特征'!$A$5:$J$204,8,FALSE)</x:f>
        <x:v>7</x:v>
      </x:c>
      <x:c r="L134" s="42" t="str">
        <x:f>VLOOKUP($A134,'02_征信特征'!$A$5:$J$204,9,FALSE)</x:f>
        <x:v>N</x:v>
      </x:c>
      <x:c r="M134" s="42" t="str">
        <x:f>VLOOKUP($A134,'03_决策日志'!$A$5:$G$204,4,FALSE)</x:f>
        <x:v>PASS</x:v>
      </x:c>
      <x:c r="N134" s="42" t="str">
        <x:f>IFERROR(VLOOKUP($A134,'04_人工审核'!$A$5:$H$57,6,FALSE),"NOT_REQUIRED")</x:f>
        <x:v>NOT_REQUIRED</x:v>
      </x:c>
      <x:c r="O134" s="42" t="str">
        <x:f>IFERROR(VLOOKUP($A134,'05_贷后表现'!$A$5:$J$137,2,FALSE),"N")</x:f>
        <x:v>Y</x:v>
      </x:c>
      <x:c r="P134" s="42" t="str">
        <x:f>IFERROR(VLOOKUP($A134,'05_贷后表现'!$A$5:$J$137,6,FALSE),"")</x:f>
        <x:v>N</x:v>
      </x:c>
      <x:c r="Q134" s="42" t="str">
        <x:f>IFERROR(VLOOKUP($A134,'05_贷后表现'!$A$5:$J$137,7,FALSE),"")</x:f>
        <x:v>N</x:v>
      </x:c>
      <x:c r="R134" s="45" t="n">
        <x:f>IFERROR(VLOOKUP($A134,'05_贷后表现'!$A$5:$J$137,8,FALSE),"")</x:f>
        <x:v>8</x:v>
      </x:c>
      <x:c r="S134" s="35" t="str">
        <x:f>IF(F134&lt;500,"REJECT",IF(OR(I134&gt;=2,J134&gt;60),"REJECT",IF(F134&lt;560,"REVIEW",IF(G134="","REVIEW",IF(AND(L134&lt;&gt;"Y",G134&gt;0.7),"REVIEW","PASS")))))</x:f>
        <x:v>PASS</x:v>
      </x:c>
      <x:c r="T134" s="35" t="str">
        <x:f>M134&amp;"→"&amp;S134</x:f>
        <x:v>PASS→PASS</x:v>
      </x:c>
    </x:row>
    <x:row r="135">
      <x:c r="A135" s="42" t="str">
        <x:v>APP2025000131</x:v>
      </x:c>
      <x:c r="B135" s="43" t="n">
        <x:f>VLOOKUP($A135,'01_申请数据'!$A$5:$L$204,3,FALSE)</x:f>
        <x:v>45674.39166666667</x:v>
      </x:c>
      <x:c r="C135" s="44" t="n">
        <x:f>VLOOKUP($A135,'01_申请数据'!$A$5:$L$204,5,FALSE)</x:f>
        <x:v>95000</x:v>
      </x:c>
      <x:c r="D135" s="45" t="n">
        <x:f>VLOOKUP($A135,'01_申请数据'!$A$5:$L$204,6,FALSE)</x:f>
        <x:v>6</x:v>
      </x:c>
      <x:c r="E135" s="44" t="n">
        <x:f>VLOOKUP($A135,'01_申请数据'!$A$5:$L$204,10,FALSE)</x:f>
        <x:v>5900</x:v>
      </x:c>
      <x:c r="F135" s="45" t="n">
        <x:f>VLOOKUP($A135,'02_征信特征'!$A$5:$J$204,3,FALSE)</x:f>
        <x:v>585</x:v>
      </x:c>
      <x:c r="G135" s="46" t="n">
        <x:f>VLOOKUP($A135,'02_征信特征'!$A$5:$J$204,4,FALSE)</x:f>
        <x:v>0.415</x:v>
      </x:c>
      <x:c r="H135" s="45" t="n">
        <x:f>VLOOKUP($A135,'02_征信特征'!$A$5:$J$204,5,FALSE)</x:f>
        <x:v>0</x:v>
      </x:c>
      <x:c r="I135" s="45" t="n">
        <x:f>VLOOKUP($A135,'02_征信特征'!$A$5:$J$204,6,FALSE)</x:f>
        <x:v>1</x:v>
      </x:c>
      <x:c r="J135" s="45" t="n">
        <x:f>VLOOKUP($A135,'02_征信特征'!$A$5:$J$204,7,FALSE)</x:f>
        <x:v>48</x:v>
      </x:c>
      <x:c r="K135" s="45" t="n">
        <x:f>VLOOKUP($A135,'02_征信特征'!$A$5:$J$204,8,FALSE)</x:f>
        <x:v>6</x:v>
      </x:c>
      <x:c r="L135" s="42" t="str">
        <x:f>VLOOKUP($A135,'02_征信特征'!$A$5:$J$204,9,FALSE)</x:f>
        <x:v>N</x:v>
      </x:c>
      <x:c r="M135" s="42" t="str">
        <x:f>VLOOKUP($A135,'03_决策日志'!$A$5:$G$204,4,FALSE)</x:f>
        <x:v>PASS</x:v>
      </x:c>
      <x:c r="N135" s="42" t="str">
        <x:f>IFERROR(VLOOKUP($A135,'04_人工审核'!$A$5:$H$57,6,FALSE),"NOT_REQUIRED")</x:f>
        <x:v>NOT_REQUIRED</x:v>
      </x:c>
      <x:c r="O135" s="42" t="str">
        <x:f>IFERROR(VLOOKUP($A135,'05_贷后表现'!$A$5:$J$137,2,FALSE),"N")</x:f>
        <x:v>Y</x:v>
      </x:c>
      <x:c r="P135" s="42" t="str">
        <x:f>IFERROR(VLOOKUP($A135,'05_贷后表现'!$A$5:$J$137,6,FALSE),"")</x:f>
        <x:v>N</x:v>
      </x:c>
      <x:c r="Q135" s="42" t="str">
        <x:f>IFERROR(VLOOKUP($A135,'05_贷后表现'!$A$5:$J$137,7,FALSE),"")</x:f>
        <x:v>N</x:v>
      </x:c>
      <x:c r="R135" s="45" t="n">
        <x:f>IFERROR(VLOOKUP($A135,'05_贷后表现'!$A$5:$J$137,8,FALSE),"")</x:f>
        <x:v>7</x:v>
      </x:c>
      <x:c r="S135" s="35" t="str">
        <x:f>IF(F135&lt;500,"REJECT",IF(OR(I135&gt;=2,J135&gt;60),"REJECT",IF(F135&lt;560,"REVIEW",IF(G135="","REVIEW",IF(AND(L135&lt;&gt;"Y",G135&gt;0.7),"REVIEW","PASS")))))</x:f>
        <x:v>PASS</x:v>
      </x:c>
      <x:c r="T135" s="35" t="str">
        <x:f>M135&amp;"→"&amp;S135</x:f>
        <x:v>PASS→PASS</x:v>
      </x:c>
    </x:row>
    <x:row r="136">
      <x:c r="A136" s="42" t="str">
        <x:v>APP2025000132</x:v>
      </x:c>
      <x:c r="B136" s="43" t="n">
        <x:f>VLOOKUP($A136,'01_申请数据'!$A$5:$L$204,3,FALSE)</x:f>
        <x:v>45769.68472222222</x:v>
      </x:c>
      <x:c r="C136" s="44" t="n">
        <x:f>VLOOKUP($A136,'01_申请数据'!$A$5:$L$204,5,FALSE)</x:f>
        <x:v>21000</x:v>
      </x:c>
      <x:c r="D136" s="45" t="n">
        <x:f>VLOOKUP($A136,'01_申请数据'!$A$5:$L$204,6,FALSE)</x:f>
        <x:v>6</x:v>
      </x:c>
      <x:c r="E136" s="44" t="n">
        <x:f>VLOOKUP($A136,'01_申请数据'!$A$5:$L$204,10,FALSE)</x:f>
        <x:v>16800</x:v>
      </x:c>
      <x:c r="F136" s="45" t="n">
        <x:f>VLOOKUP($A136,'02_征信特征'!$A$5:$J$204,3,FALSE)</x:f>
        <x:v>638</x:v>
      </x:c>
      <x:c r="G136" s="46" t="str">
        <x:f>VLOOKUP($A136,'02_征信特征'!$A$5:$J$204,4,FALSE)</x:f>
      </x:c>
      <x:c r="H136" s="45" t="n">
        <x:f>VLOOKUP($A136,'02_征信特征'!$A$5:$J$204,5,FALSE)</x:f>
        <x:v>2</x:v>
      </x:c>
      <x:c r="I136" s="45" t="n">
        <x:f>VLOOKUP($A136,'02_征信特征'!$A$5:$J$204,6,FALSE)</x:f>
        <x:v>0</x:v>
      </x:c>
      <x:c r="J136" s="45" t="n">
        <x:f>VLOOKUP($A136,'02_征信特征'!$A$5:$J$204,7,FALSE)</x:f>
        <x:v>0</x:v>
      </x:c>
      <x:c r="K136" s="45" t="n">
        <x:f>VLOOKUP($A136,'02_征信特征'!$A$5:$J$204,8,FALSE)</x:f>
        <x:v>9</x:v>
      </x:c>
      <x:c r="L136" s="42" t="str">
        <x:f>VLOOKUP($A136,'02_征信特征'!$A$5:$J$204,9,FALSE)</x:f>
        <x:v>N</x:v>
      </x:c>
      <x:c r="M136" s="42" t="str">
        <x:f>VLOOKUP($A136,'03_决策日志'!$A$5:$G$204,4,FALSE)</x:f>
        <x:v>REVIEW</x:v>
      </x:c>
      <x:c r="N136" s="42" t="str">
        <x:f>IFERROR(VLOOKUP($A136,'04_人工审核'!$A$5:$H$57,6,FALSE),"NOT_REQUIRED")</x:f>
        <x:v>APPROVE</x:v>
      </x:c>
      <x:c r="O136" s="42" t="str">
        <x:f>IFERROR(VLOOKUP($A136,'05_贷后表现'!$A$5:$J$137,2,FALSE),"N")</x:f>
        <x:v>Y</x:v>
      </x:c>
      <x:c r="P136" s="42" t="str">
        <x:f>IFERROR(VLOOKUP($A136,'05_贷后表现'!$A$5:$J$137,6,FALSE),"")</x:f>
        <x:v>Y</x:v>
      </x:c>
      <x:c r="Q136" s="42" t="str">
        <x:f>IFERROR(VLOOKUP($A136,'05_贷后表现'!$A$5:$J$137,7,FALSE),"")</x:f>
        <x:v>N</x:v>
      </x:c>
      <x:c r="R136" s="45" t="n">
        <x:f>IFERROR(VLOOKUP($A136,'05_贷后表现'!$A$5:$J$137,8,FALSE),"")</x:f>
        <x:v>13</x:v>
      </x:c>
      <x:c r="S136" s="35" t="str">
        <x:f>IF(F136&lt;500,"REJECT",IF(OR(I136&gt;=2,J136&gt;60),"REJECT",IF(F136&lt;560,"REVIEW",IF(G136="","REVIEW",IF(AND(L136&lt;&gt;"Y",G136&gt;0.7),"REVIEW","PASS")))))</x:f>
        <x:v>REVIEW</x:v>
      </x:c>
      <x:c r="T136" s="35" t="str">
        <x:f>M136&amp;"→"&amp;S136</x:f>
        <x:v>REVIEW→REVIEW</x:v>
      </x:c>
    </x:row>
    <x:row r="137">
      <x:c r="A137" s="42" t="str">
        <x:v>APP2025000133</x:v>
      </x:c>
      <x:c r="B137" s="43" t="n">
        <x:f>VLOOKUP($A137,'01_申请数据'!$A$5:$L$204,3,FALSE)</x:f>
        <x:v>45672.42569444444</x:v>
      </x:c>
      <x:c r="C137" s="44" t="n">
        <x:f>VLOOKUP($A137,'01_申请数据'!$A$5:$L$204,5,FALSE)</x:f>
        <x:v>50000</x:v>
      </x:c>
      <x:c r="D137" s="45" t="n">
        <x:f>VLOOKUP($A137,'01_申请数据'!$A$5:$L$204,6,FALSE)</x:f>
        <x:v>6</x:v>
      </x:c>
      <x:c r="E137" s="44" t="n">
        <x:f>VLOOKUP($A137,'01_申请数据'!$A$5:$L$204,10,FALSE)</x:f>
        <x:v>23800</x:v>
      </x:c>
      <x:c r="F137" s="45" t="n">
        <x:f>VLOOKUP($A137,'02_征信特征'!$A$5:$J$204,3,FALSE)</x:f>
        <x:v>674</x:v>
      </x:c>
      <x:c r="G137" s="46" t="str">
        <x:f>VLOOKUP($A137,'02_征信特征'!$A$5:$J$204,4,FALSE)</x:f>
      </x:c>
      <x:c r="H137" s="45" t="n">
        <x:f>VLOOKUP($A137,'02_征信特征'!$A$5:$J$204,5,FALSE)</x:f>
        <x:v>5</x:v>
      </x:c>
      <x:c r="I137" s="45" t="n">
        <x:f>VLOOKUP($A137,'02_征信特征'!$A$5:$J$204,6,FALSE)</x:f>
        <x:v>0</x:v>
      </x:c>
      <x:c r="J137" s="45" t="n">
        <x:f>VLOOKUP($A137,'02_征信特征'!$A$5:$J$204,7,FALSE)</x:f>
        <x:v>0</x:v>
      </x:c>
      <x:c r="K137" s="45" t="n">
        <x:f>VLOOKUP($A137,'02_征信特征'!$A$5:$J$204,8,FALSE)</x:f>
        <x:v>11</x:v>
      </x:c>
      <x:c r="L137" s="42" t="str">
        <x:f>VLOOKUP($A137,'02_征信特征'!$A$5:$J$204,9,FALSE)</x:f>
        <x:v>N</x:v>
      </x:c>
      <x:c r="M137" s="42" t="str">
        <x:f>VLOOKUP($A137,'03_决策日志'!$A$5:$G$204,4,FALSE)</x:f>
        <x:v>REVIEW</x:v>
      </x:c>
      <x:c r="N137" s="42" t="str">
        <x:f>IFERROR(VLOOKUP($A137,'04_人工审核'!$A$5:$H$57,6,FALSE),"NOT_REQUIRED")</x:f>
        <x:v>APPROVE</x:v>
      </x:c>
      <x:c r="O137" s="42" t="str">
        <x:f>IFERROR(VLOOKUP($A137,'05_贷后表现'!$A$5:$J$137,2,FALSE),"N")</x:f>
        <x:v>Y</x:v>
      </x:c>
      <x:c r="P137" s="42" t="str">
        <x:f>IFERROR(VLOOKUP($A137,'05_贷后表现'!$A$5:$J$137,6,FALSE),"")</x:f>
        <x:v>N</x:v>
      </x:c>
      <x:c r="Q137" s="42" t="str">
        <x:f>IFERROR(VLOOKUP($A137,'05_贷后表现'!$A$5:$J$137,7,FALSE),"")</x:f>
        <x:v>N</x:v>
      </x:c>
      <x:c r="R137" s="45" t="n">
        <x:f>IFERROR(VLOOKUP($A137,'05_贷后表现'!$A$5:$J$137,8,FALSE),"")</x:f>
        <x:v>7</x:v>
      </x:c>
      <x:c r="S137" s="35" t="str">
        <x:f>IF(F137&lt;500,"REJECT",IF(OR(I137&gt;=2,J137&gt;60),"REJECT",IF(F137&lt;560,"REVIEW",IF(G137="","REVIEW",IF(AND(L137&lt;&gt;"Y",G137&gt;0.7),"REVIEW","PASS")))))</x:f>
        <x:v>REVIEW</x:v>
      </x:c>
      <x:c r="T137" s="35" t="str">
        <x:f>M137&amp;"→"&amp;S137</x:f>
        <x:v>REVIEW→REVIEW</x:v>
      </x:c>
    </x:row>
    <x:row r="138">
      <x:c r="A138" s="42" t="str">
        <x:v>APP2025000134</x:v>
      </x:c>
      <x:c r="B138" s="43" t="n">
        <x:f>VLOOKUP($A138,'01_申请数据'!$A$5:$L$204,3,FALSE)</x:f>
        <x:v>45681.67291666667</x:v>
      </x:c>
      <x:c r="C138" s="44" t="n">
        <x:f>VLOOKUP($A138,'01_申请数据'!$A$5:$L$204,5,FALSE)</x:f>
        <x:v>40000</x:v>
      </x:c>
      <x:c r="D138" s="45" t="n">
        <x:f>VLOOKUP($A138,'01_申请数据'!$A$5:$L$204,6,FALSE)</x:f>
        <x:v>24</x:v>
      </x:c>
      <x:c r="E138" s="44" t="n">
        <x:f>VLOOKUP($A138,'01_申请数据'!$A$5:$L$204,10,FALSE)</x:f>
        <x:v>9200</x:v>
      </x:c>
      <x:c r="F138" s="45" t="n">
        <x:f>VLOOKUP($A138,'02_征信特征'!$A$5:$J$204,3,FALSE)</x:f>
        <x:v>649</x:v>
      </x:c>
      <x:c r="G138" s="46" t="n">
        <x:f>VLOOKUP($A138,'02_征信特征'!$A$5:$J$204,4,FALSE)</x:f>
        <x:v>0.737</x:v>
      </x:c>
      <x:c r="H138" s="45" t="n">
        <x:f>VLOOKUP($A138,'02_征信特征'!$A$5:$J$204,5,FALSE)</x:f>
        <x:v>5</x:v>
      </x:c>
      <x:c r="I138" s="45" t="n">
        <x:f>VLOOKUP($A138,'02_征信特征'!$A$5:$J$204,6,FALSE)</x:f>
        <x:v>0</x:v>
      </x:c>
      <x:c r="J138" s="45" t="n">
        <x:f>VLOOKUP($A138,'02_征信特征'!$A$5:$J$204,7,FALSE)</x:f>
        <x:v>0</x:v>
      </x:c>
      <x:c r="K138" s="45" t="n">
        <x:f>VLOOKUP($A138,'02_征信特征'!$A$5:$J$204,8,FALSE)</x:f>
        <x:v>9</x:v>
      </x:c>
      <x:c r="L138" s="42" t="str">
        <x:f>VLOOKUP($A138,'02_征信特征'!$A$5:$J$204,9,FALSE)</x:f>
        <x:v>N</x:v>
      </x:c>
      <x:c r="M138" s="42" t="str">
        <x:f>VLOOKUP($A138,'03_决策日志'!$A$5:$G$204,4,FALSE)</x:f>
        <x:v>PASS</x:v>
      </x:c>
      <x:c r="N138" s="42" t="str">
        <x:f>IFERROR(VLOOKUP($A138,'04_人工审核'!$A$5:$H$57,6,FALSE),"NOT_REQUIRED")</x:f>
        <x:v>NOT_REQUIRED</x:v>
      </x:c>
      <x:c r="O138" s="42" t="str">
        <x:f>IFERROR(VLOOKUP($A138,'05_贷后表现'!$A$5:$J$137,2,FALSE),"N")</x:f>
        <x:v>Y</x:v>
      </x:c>
      <x:c r="P138" s="42" t="str">
        <x:f>IFERROR(VLOOKUP($A138,'05_贷后表现'!$A$5:$J$137,6,FALSE),"")</x:f>
        <x:v>N</x:v>
      </x:c>
      <x:c r="Q138" s="42" t="str">
        <x:f>IFERROR(VLOOKUP($A138,'05_贷后表现'!$A$5:$J$137,7,FALSE),"")</x:f>
        <x:v>N</x:v>
      </x:c>
      <x:c r="R138" s="45" t="n">
        <x:f>IFERROR(VLOOKUP($A138,'05_贷后表现'!$A$5:$J$137,8,FALSE),"")</x:f>
        <x:v>13</x:v>
      </x:c>
      <x:c r="S138" s="35" t="str">
        <x:f>IF(F138&lt;500,"REJECT",IF(OR(I138&gt;=2,J138&gt;60),"REJECT",IF(F138&lt;560,"REVIEW",IF(G138="","REVIEW",IF(AND(L138&lt;&gt;"Y",G138&gt;0.7),"REVIEW","PASS")))))</x:f>
        <x:v>REVIEW</x:v>
      </x:c>
      <x:c r="T138" s="35" t="str">
        <x:f>M138&amp;"→"&amp;S138</x:f>
        <x:v>PASS→REVIEW</x:v>
      </x:c>
    </x:row>
    <x:row r="139">
      <x:c r="A139" s="42" t="str">
        <x:v>APP2025000135</x:v>
      </x:c>
      <x:c r="B139" s="43" t="n">
        <x:f>VLOOKUP($A139,'01_申请数据'!$A$5:$L$204,3,FALSE)</x:f>
        <x:v>45695.64513888889</x:v>
      </x:c>
      <x:c r="C139" s="44" t="n">
        <x:f>VLOOKUP($A139,'01_申请数据'!$A$5:$L$204,5,FALSE)</x:f>
        <x:v>48000</x:v>
      </x:c>
      <x:c r="D139" s="45" t="n">
        <x:f>VLOOKUP($A139,'01_申请数据'!$A$5:$L$204,6,FALSE)</x:f>
        <x:v>6</x:v>
      </x:c>
      <x:c r="E139" s="44" t="n">
        <x:f>VLOOKUP($A139,'01_申请数据'!$A$5:$L$204,10,FALSE)</x:f>
        <x:v>13600</x:v>
      </x:c>
      <x:c r="F139" s="45" t="n">
        <x:f>VLOOKUP($A139,'02_征信特征'!$A$5:$J$204,3,FALSE)</x:f>
        <x:v>584</x:v>
      </x:c>
      <x:c r="G139" s="46" t="n">
        <x:f>VLOOKUP($A139,'02_征信特征'!$A$5:$J$204,4,FALSE)</x:f>
        <x:v>0.871</x:v>
      </x:c>
      <x:c r="H139" s="45" t="n">
        <x:f>VLOOKUP($A139,'02_征信特征'!$A$5:$J$204,5,FALSE)</x:f>
        <x:v>0</x:v>
      </x:c>
      <x:c r="I139" s="45" t="n">
        <x:f>VLOOKUP($A139,'02_征信特征'!$A$5:$J$204,6,FALSE)</x:f>
        <x:v>1</x:v>
      </x:c>
      <x:c r="J139" s="45" t="n">
        <x:f>VLOOKUP($A139,'02_征信特征'!$A$5:$J$204,7,FALSE)</x:f>
        <x:v>33</x:v>
      </x:c>
      <x:c r="K139" s="45" t="n">
        <x:f>VLOOKUP($A139,'02_征信特征'!$A$5:$J$204,8,FALSE)</x:f>
        <x:v>1</x:v>
      </x:c>
      <x:c r="L139" s="42" t="str">
        <x:f>VLOOKUP($A139,'02_征信特征'!$A$5:$J$204,9,FALSE)</x:f>
        <x:v>N</x:v>
      </x:c>
      <x:c r="M139" s="42" t="str">
        <x:f>VLOOKUP($A139,'03_决策日志'!$A$5:$G$204,4,FALSE)</x:f>
        <x:v>REVIEW</x:v>
      </x:c>
      <x:c r="N139" s="42" t="str">
        <x:f>IFERROR(VLOOKUP($A139,'04_人工审核'!$A$5:$H$57,6,FALSE),"NOT_REQUIRED")</x:f>
        <x:v>APPROVE</x:v>
      </x:c>
      <x:c r="O139" s="42" t="str">
        <x:f>IFERROR(VLOOKUP($A139,'05_贷后表现'!$A$5:$J$137,2,FALSE),"N")</x:f>
        <x:v>N</x:v>
      </x:c>
      <x:c r="P139" s="42" t="str">
        <x:f>IFERROR(VLOOKUP($A139,'05_贷后表现'!$A$5:$J$137,6,FALSE),"")</x:f>
      </x:c>
      <x:c r="Q139" s="42" t="str">
        <x:f>IFERROR(VLOOKUP($A139,'05_贷后表现'!$A$5:$J$137,7,FALSE),"")</x:f>
      </x:c>
      <x:c r="R139" s="45" t="str">
        <x:f>IFERROR(VLOOKUP($A139,'05_贷后表现'!$A$5:$J$137,8,FALSE),"")</x:f>
      </x:c>
      <x:c r="S139" s="35" t="str">
        <x:f>IF(F139&lt;500,"REJECT",IF(OR(I139&gt;=2,J139&gt;60),"REJECT",IF(F139&lt;560,"REVIEW",IF(G139="","REVIEW",IF(AND(L139&lt;&gt;"Y",G139&gt;0.7),"REVIEW","PASS")))))</x:f>
        <x:v>REVIEW</x:v>
      </x:c>
      <x:c r="T139" s="35" t="str">
        <x:f>M139&amp;"→"&amp;S139</x:f>
        <x:v>REVIEW→REVIEW</x:v>
      </x:c>
    </x:row>
    <x:row r="140">
      <x:c r="A140" s="42" t="str">
        <x:v>APP2025000136</x:v>
      </x:c>
      <x:c r="B140" s="43" t="n">
        <x:f>VLOOKUP($A140,'01_申请数据'!$A$5:$L$204,3,FALSE)</x:f>
        <x:v>45787.35486111111</x:v>
      </x:c>
      <x:c r="C140" s="44" t="n">
        <x:f>VLOOKUP($A140,'01_申请数据'!$A$5:$L$204,5,FALSE)</x:f>
        <x:v>129000</x:v>
      </x:c>
      <x:c r="D140" s="45" t="n">
        <x:f>VLOOKUP($A140,'01_申请数据'!$A$5:$L$204,6,FALSE)</x:f>
        <x:v>6</x:v>
      </x:c>
      <x:c r="E140" s="44" t="n">
        <x:f>VLOOKUP($A140,'01_申请数据'!$A$5:$L$204,10,FALSE)</x:f>
        <x:v>29600</x:v>
      </x:c>
      <x:c r="F140" s="45" t="n">
        <x:f>VLOOKUP($A140,'02_征信特征'!$A$5:$J$204,3,FALSE)</x:f>
        <x:v>702</x:v>
      </x:c>
      <x:c r="G140" s="46" t="n">
        <x:f>VLOOKUP($A140,'02_征信特征'!$A$5:$J$204,4,FALSE)</x:f>
        <x:v>0.199</x:v>
      </x:c>
      <x:c r="H140" s="45" t="n">
        <x:f>VLOOKUP($A140,'02_征信特征'!$A$5:$J$204,5,FALSE)</x:f>
        <x:v>3</x:v>
      </x:c>
      <x:c r="I140" s="45" t="n">
        <x:f>VLOOKUP($A140,'02_征信特征'!$A$5:$J$204,6,FALSE)</x:f>
        <x:v>0</x:v>
      </x:c>
      <x:c r="J140" s="45" t="n">
        <x:f>VLOOKUP($A140,'02_征信特征'!$A$5:$J$204,7,FALSE)</x:f>
        <x:v>0</x:v>
      </x:c>
      <x:c r="K140" s="45" t="n">
        <x:f>VLOOKUP($A140,'02_征信特征'!$A$5:$J$204,8,FALSE)</x:f>
        <x:v>7</x:v>
      </x:c>
      <x:c r="L140" s="42" t="str">
        <x:f>VLOOKUP($A140,'02_征信特征'!$A$5:$J$204,9,FALSE)</x:f>
        <x:v>N</x:v>
      </x:c>
      <x:c r="M140" s="42" t="str">
        <x:f>VLOOKUP($A140,'03_决策日志'!$A$5:$G$204,4,FALSE)</x:f>
        <x:v>PASS</x:v>
      </x:c>
      <x:c r="N140" s="42" t="str">
        <x:f>IFERROR(VLOOKUP($A140,'04_人工审核'!$A$5:$H$57,6,FALSE),"NOT_REQUIRED")</x:f>
        <x:v>NOT_REQUIRED</x:v>
      </x:c>
      <x:c r="O140" s="42" t="str">
        <x:f>IFERROR(VLOOKUP($A140,'05_贷后表现'!$A$5:$J$137,2,FALSE),"N")</x:f>
        <x:v>Y</x:v>
      </x:c>
      <x:c r="P140" s="42" t="str">
        <x:f>IFERROR(VLOOKUP($A140,'05_贷后表现'!$A$5:$J$137,6,FALSE),"")</x:f>
        <x:v>N</x:v>
      </x:c>
      <x:c r="Q140" s="42" t="str">
        <x:f>IFERROR(VLOOKUP($A140,'05_贷后表现'!$A$5:$J$137,7,FALSE),"")</x:f>
        <x:v>N</x:v>
      </x:c>
      <x:c r="R140" s="45" t="n">
        <x:f>IFERROR(VLOOKUP($A140,'05_贷后表现'!$A$5:$J$137,8,FALSE),"")</x:f>
        <x:v>7</x:v>
      </x:c>
      <x:c r="S140" s="35" t="str">
        <x:f>IF(F140&lt;500,"REJECT",IF(OR(I140&gt;=2,J140&gt;60),"REJECT",IF(F140&lt;560,"REVIEW",IF(G140="","REVIEW",IF(AND(L140&lt;&gt;"Y",G140&gt;0.7),"REVIEW","PASS")))))</x:f>
        <x:v>PASS</x:v>
      </x:c>
      <x:c r="T140" s="35" t="str">
        <x:f>M140&amp;"→"&amp;S140</x:f>
        <x:v>PASS→PASS</x:v>
      </x:c>
    </x:row>
    <x:row r="141">
      <x:c r="A141" s="42" t="str">
        <x:v>APP2025000137</x:v>
      </x:c>
      <x:c r="B141" s="43" t="n">
        <x:f>VLOOKUP($A141,'01_申请数据'!$A$5:$L$204,3,FALSE)</x:f>
        <x:v>45750.43263888889</x:v>
      </x:c>
      <x:c r="C141" s="44" t="n">
        <x:f>VLOOKUP($A141,'01_申请数据'!$A$5:$L$204,5,FALSE)</x:f>
        <x:v>126000</x:v>
      </x:c>
      <x:c r="D141" s="45" t="n">
        <x:f>VLOOKUP($A141,'01_申请数据'!$A$5:$L$204,6,FALSE)</x:f>
        <x:v>36</x:v>
      </x:c>
      <x:c r="E141" s="44" t="n">
        <x:f>VLOOKUP($A141,'01_申请数据'!$A$5:$L$204,10,FALSE)</x:f>
        <x:v>5200</x:v>
      </x:c>
      <x:c r="F141" s="45" t="n">
        <x:f>VLOOKUP($A141,'02_征信特征'!$A$5:$J$204,3,FALSE)</x:f>
        <x:v>625</x:v>
      </x:c>
      <x:c r="G141" s="46" t="n">
        <x:f>VLOOKUP($A141,'02_征信特征'!$A$5:$J$204,4,FALSE)</x:f>
        <x:v>0.974</x:v>
      </x:c>
      <x:c r="H141" s="45" t="n">
        <x:f>VLOOKUP($A141,'02_征信特征'!$A$5:$J$204,5,FALSE)</x:f>
        <x:v>3</x:v>
      </x:c>
      <x:c r="I141" s="45" t="n">
        <x:f>VLOOKUP($A141,'02_征信特征'!$A$5:$J$204,6,FALSE)</x:f>
        <x:v>0</x:v>
      </x:c>
      <x:c r="J141" s="45" t="n">
        <x:f>VLOOKUP($A141,'02_征信特征'!$A$5:$J$204,7,FALSE)</x:f>
        <x:v>0</x:v>
      </x:c>
      <x:c r="K141" s="45" t="n">
        <x:f>VLOOKUP($A141,'02_征信特征'!$A$5:$J$204,8,FALSE)</x:f>
        <x:v>8</x:v>
      </x:c>
      <x:c r="L141" s="42" t="str">
        <x:f>VLOOKUP($A141,'02_征信特征'!$A$5:$J$204,9,FALSE)</x:f>
        <x:v>N</x:v>
      </x:c>
      <x:c r="M141" s="42" t="str">
        <x:f>VLOOKUP($A141,'03_决策日志'!$A$5:$G$204,4,FALSE)</x:f>
        <x:v>REVIEW</x:v>
      </x:c>
      <x:c r="N141" s="42" t="str">
        <x:f>IFERROR(VLOOKUP($A141,'04_人工审核'!$A$5:$H$57,6,FALSE),"NOT_REQUIRED")</x:f>
        <x:v>APPROVE</x:v>
      </x:c>
      <x:c r="O141" s="42" t="str">
        <x:f>IFERROR(VLOOKUP($A141,'05_贷后表现'!$A$5:$J$137,2,FALSE),"N")</x:f>
        <x:v>Y</x:v>
      </x:c>
      <x:c r="P141" s="42" t="str">
        <x:f>IFERROR(VLOOKUP($A141,'05_贷后表现'!$A$5:$J$137,6,FALSE),"")</x:f>
        <x:v>N</x:v>
      </x:c>
      <x:c r="Q141" s="42" t="str">
        <x:f>IFERROR(VLOOKUP($A141,'05_贷后表现'!$A$5:$J$137,7,FALSE),"")</x:f>
        <x:v>N</x:v>
      </x:c>
      <x:c r="R141" s="45" t="n">
        <x:f>IFERROR(VLOOKUP($A141,'05_贷后表现'!$A$5:$J$137,8,FALSE),"")</x:f>
        <x:v>10</x:v>
      </x:c>
      <x:c r="S141" s="35" t="str">
        <x:f>IF(F141&lt;500,"REJECT",IF(OR(I141&gt;=2,J141&gt;60),"REJECT",IF(F141&lt;560,"REVIEW",IF(G141="","REVIEW",IF(AND(L141&lt;&gt;"Y",G141&gt;0.7),"REVIEW","PASS")))))</x:f>
        <x:v>REVIEW</x:v>
      </x:c>
      <x:c r="T141" s="35" t="str">
        <x:f>M141&amp;"→"&amp;S141</x:f>
        <x:v>REVIEW→REVIEW</x:v>
      </x:c>
    </x:row>
    <x:row r="142">
      <x:c r="A142" s="42" t="str">
        <x:v>APP2025000138</x:v>
      </x:c>
      <x:c r="B142" s="43" t="n">
        <x:f>VLOOKUP($A142,'01_申请数据'!$A$5:$L$204,3,FALSE)</x:f>
        <x:v>45742.54791666667</x:v>
      </x:c>
      <x:c r="C142" s="44" t="n">
        <x:f>VLOOKUP($A142,'01_申请数据'!$A$5:$L$204,5,FALSE)</x:f>
        <x:v>101000</x:v>
      </x:c>
      <x:c r="D142" s="45" t="n">
        <x:f>VLOOKUP($A142,'01_申请数据'!$A$5:$L$204,6,FALSE)</x:f>
        <x:v>6</x:v>
      </x:c>
      <x:c r="E142" s="44" t="n">
        <x:f>VLOOKUP($A142,'01_申请数据'!$A$5:$L$204,10,FALSE)</x:f>
        <x:v>5400</x:v>
      </x:c>
      <x:c r="F142" s="45" t="n">
        <x:f>VLOOKUP($A142,'02_征信特征'!$A$5:$J$204,3,FALSE)</x:f>
        <x:v>672</x:v>
      </x:c>
      <x:c r="G142" s="46" t="n">
        <x:f>VLOOKUP($A142,'02_征信特征'!$A$5:$J$204,4,FALSE)</x:f>
        <x:v>0.756</x:v>
      </x:c>
      <x:c r="H142" s="45" t="n">
        <x:f>VLOOKUP($A142,'02_征信特征'!$A$5:$J$204,5,FALSE)</x:f>
        <x:v>1</x:v>
      </x:c>
      <x:c r="I142" s="45" t="n">
        <x:f>VLOOKUP($A142,'02_征信特征'!$A$5:$J$204,6,FALSE)</x:f>
        <x:v>0</x:v>
      </x:c>
      <x:c r="J142" s="45" t="n">
        <x:f>VLOOKUP($A142,'02_征信特征'!$A$5:$J$204,7,FALSE)</x:f>
        <x:v>0</x:v>
      </x:c>
      <x:c r="K142" s="45" t="n">
        <x:f>VLOOKUP($A142,'02_征信特征'!$A$5:$J$204,8,FALSE)</x:f>
        <x:v>9</x:v>
      </x:c>
      <x:c r="L142" s="42" t="str">
        <x:f>VLOOKUP($A142,'02_征信特征'!$A$5:$J$204,9,FALSE)</x:f>
        <x:v>N</x:v>
      </x:c>
      <x:c r="M142" s="42" t="str">
        <x:f>VLOOKUP($A142,'03_决策日志'!$A$5:$G$204,4,FALSE)</x:f>
        <x:v>PASS</x:v>
      </x:c>
      <x:c r="N142" s="42" t="str">
        <x:f>IFERROR(VLOOKUP($A142,'04_人工审核'!$A$5:$H$57,6,FALSE),"NOT_REQUIRED")</x:f>
        <x:v>NOT_REQUIRED</x:v>
      </x:c>
      <x:c r="O142" s="42" t="str">
        <x:f>IFERROR(VLOOKUP($A142,'05_贷后表现'!$A$5:$J$137,2,FALSE),"N")</x:f>
        <x:v>N</x:v>
      </x:c>
      <x:c r="P142" s="42" t="str">
        <x:f>IFERROR(VLOOKUP($A142,'05_贷后表现'!$A$5:$J$137,6,FALSE),"")</x:f>
      </x:c>
      <x:c r="Q142" s="42" t="str">
        <x:f>IFERROR(VLOOKUP($A142,'05_贷后表现'!$A$5:$J$137,7,FALSE),"")</x:f>
      </x:c>
      <x:c r="R142" s="45" t="str">
        <x:f>IFERROR(VLOOKUP($A142,'05_贷后表现'!$A$5:$J$137,8,FALSE),"")</x:f>
      </x:c>
      <x:c r="S142" s="35" t="str">
        <x:f>IF(F142&lt;500,"REJECT",IF(OR(I142&gt;=2,J142&gt;60),"REJECT",IF(F142&lt;560,"REVIEW",IF(G142="","REVIEW",IF(AND(L142&lt;&gt;"Y",G142&gt;0.7),"REVIEW","PASS")))))</x:f>
        <x:v>REVIEW</x:v>
      </x:c>
      <x:c r="T142" s="35" t="str">
        <x:f>M142&amp;"→"&amp;S142</x:f>
        <x:v>PASS→REVIEW</x:v>
      </x:c>
    </x:row>
    <x:row r="143">
      <x:c r="A143" s="42" t="str">
        <x:v>APP2025000139</x:v>
      </x:c>
      <x:c r="B143" s="43" t="n">
        <x:f>VLOOKUP($A143,'01_申请数据'!$A$5:$L$204,3,FALSE)</x:f>
        <x:v>45821.40555555555</x:v>
      </x:c>
      <x:c r="C143" s="44" t="n">
        <x:f>VLOOKUP($A143,'01_申请数据'!$A$5:$L$204,5,FALSE)</x:f>
        <x:v>43000</x:v>
      </x:c>
      <x:c r="D143" s="45" t="n">
        <x:f>VLOOKUP($A143,'01_申请数据'!$A$5:$L$204,6,FALSE)</x:f>
        <x:v>6</x:v>
      </x:c>
      <x:c r="E143" s="44" t="n">
        <x:f>VLOOKUP($A143,'01_申请数据'!$A$5:$L$204,10,FALSE)</x:f>
        <x:v>25700</x:v>
      </x:c>
      <x:c r="F143" s="45" t="n">
        <x:f>VLOOKUP($A143,'02_征信特征'!$A$5:$J$204,3,FALSE)</x:f>
        <x:v>441</x:v>
      </x:c>
      <x:c r="G143" s="46" t="n">
        <x:f>VLOOKUP($A143,'02_征信特征'!$A$5:$J$204,4,FALSE)</x:f>
        <x:v>0.748</x:v>
      </x:c>
      <x:c r="H143" s="45" t="n">
        <x:f>VLOOKUP($A143,'02_征信特征'!$A$5:$J$204,5,FALSE)</x:f>
        <x:v>4</x:v>
      </x:c>
      <x:c r="I143" s="45" t="n">
        <x:f>VLOOKUP($A143,'02_征信特征'!$A$5:$J$204,6,FALSE)</x:f>
        <x:v>5</x:v>
      </x:c>
      <x:c r="J143" s="45" t="n">
        <x:f>VLOOKUP($A143,'02_征信特征'!$A$5:$J$204,7,FALSE)</x:f>
        <x:v>62</x:v>
      </x:c>
      <x:c r="K143" s="45" t="n">
        <x:f>VLOOKUP($A143,'02_征信特征'!$A$5:$J$204,8,FALSE)</x:f>
        <x:v>8</x:v>
      </x:c>
      <x:c r="L143" s="42" t="str">
        <x:f>VLOOKUP($A143,'02_征信特征'!$A$5:$J$204,9,FALSE)</x:f>
        <x:v>Y</x:v>
      </x:c>
      <x:c r="M143" s="42" t="str">
        <x:f>VLOOKUP($A143,'03_决策日志'!$A$5:$G$204,4,FALSE)</x:f>
        <x:v>REJECT</x:v>
      </x:c>
      <x:c r="N143" s="42" t="str">
        <x:f>IFERROR(VLOOKUP($A143,'04_人工审核'!$A$5:$H$57,6,FALSE),"NOT_REQUIRED")</x:f>
        <x:v>NOT_REQUIRED</x:v>
      </x:c>
      <x:c r="O143" s="42" t="str">
        <x:f>IFERROR(VLOOKUP($A143,'05_贷后表现'!$A$5:$J$137,2,FALSE),"N")</x:f>
        <x:v>N</x:v>
      </x:c>
      <x:c r="P143" s="42" t="str">
        <x:f>IFERROR(VLOOKUP($A143,'05_贷后表现'!$A$5:$J$137,6,FALSE),"")</x:f>
      </x:c>
      <x:c r="Q143" s="42" t="str">
        <x:f>IFERROR(VLOOKUP($A143,'05_贷后表现'!$A$5:$J$137,7,FALSE),"")</x:f>
      </x:c>
      <x:c r="R143" s="45" t="str">
        <x:f>IFERROR(VLOOKUP($A143,'05_贷后表现'!$A$5:$J$137,8,FALSE),"")</x:f>
      </x:c>
      <x:c r="S143" s="35" t="str">
        <x:f>IF(F143&lt;500,"REJECT",IF(OR(I143&gt;=2,J143&gt;60),"REJECT",IF(F143&lt;560,"REVIEW",IF(G143="","REVIEW",IF(AND(L143&lt;&gt;"Y",G143&gt;0.7),"REVIEW","PASS")))))</x:f>
        <x:v>REJECT</x:v>
      </x:c>
      <x:c r="T143" s="35" t="str">
        <x:f>M143&amp;"→"&amp;S143</x:f>
        <x:v>REJECT→REJECT</x:v>
      </x:c>
    </x:row>
    <x:row r="144">
      <x:c r="A144" s="42" t="str">
        <x:v>APP2025000140</x:v>
      </x:c>
      <x:c r="B144" s="43" t="n">
        <x:f>VLOOKUP($A144,'01_申请数据'!$A$5:$L$204,3,FALSE)</x:f>
        <x:v>45785.66875</x:v>
      </x:c>
      <x:c r="C144" s="44" t="n">
        <x:f>VLOOKUP($A144,'01_申请数据'!$A$5:$L$204,5,FALSE)</x:f>
        <x:v>150000</x:v>
      </x:c>
      <x:c r="D144" s="45" t="n">
        <x:f>VLOOKUP($A144,'01_申请数据'!$A$5:$L$204,6,FALSE)</x:f>
        <x:v>12</x:v>
      </x:c>
      <x:c r="E144" s="44" t="n">
        <x:f>VLOOKUP($A144,'01_申请数据'!$A$5:$L$204,10,FALSE)</x:f>
        <x:v>25100</x:v>
      </x:c>
      <x:c r="F144" s="45" t="n">
        <x:f>VLOOKUP($A144,'02_征信特征'!$A$5:$J$204,3,FALSE)</x:f>
        <x:v>729</x:v>
      </x:c>
      <x:c r="G144" s="46" t="n">
        <x:f>VLOOKUP($A144,'02_征信特征'!$A$5:$J$204,4,FALSE)</x:f>
        <x:v>0.273</x:v>
      </x:c>
      <x:c r="H144" s="45" t="n">
        <x:f>VLOOKUP($A144,'02_征信特征'!$A$5:$J$204,5,FALSE)</x:f>
        <x:v>4</x:v>
      </x:c>
      <x:c r="I144" s="45" t="n">
        <x:f>VLOOKUP($A144,'02_征信特征'!$A$5:$J$204,6,FALSE)</x:f>
        <x:v>0</x:v>
      </x:c>
      <x:c r="J144" s="45" t="n">
        <x:f>VLOOKUP($A144,'02_征信特征'!$A$5:$J$204,7,FALSE)</x:f>
        <x:v>0</x:v>
      </x:c>
      <x:c r="K144" s="45" t="n">
        <x:f>VLOOKUP($A144,'02_征信特征'!$A$5:$J$204,8,FALSE)</x:f>
        <x:v>8</x:v>
      </x:c>
      <x:c r="L144" s="42" t="str">
        <x:f>VLOOKUP($A144,'02_征信特征'!$A$5:$J$204,9,FALSE)</x:f>
        <x:v>N</x:v>
      </x:c>
      <x:c r="M144" s="42" t="str">
        <x:f>VLOOKUP($A144,'03_决策日志'!$A$5:$G$204,4,FALSE)</x:f>
        <x:v>PASS</x:v>
      </x:c>
      <x:c r="N144" s="42" t="str">
        <x:f>IFERROR(VLOOKUP($A144,'04_人工审核'!$A$5:$H$57,6,FALSE),"NOT_REQUIRED")</x:f>
        <x:v>NOT_REQUIRED</x:v>
      </x:c>
      <x:c r="O144" s="42" t="str">
        <x:f>IFERROR(VLOOKUP($A144,'05_贷后表现'!$A$5:$J$137,2,FALSE),"N")</x:f>
        <x:v>Y</x:v>
      </x:c>
      <x:c r="P144" s="42" t="str">
        <x:f>IFERROR(VLOOKUP($A144,'05_贷后表现'!$A$5:$J$137,6,FALSE),"")</x:f>
        <x:v>N</x:v>
      </x:c>
      <x:c r="Q144" s="42" t="str">
        <x:f>IFERROR(VLOOKUP($A144,'05_贷后表现'!$A$5:$J$137,7,FALSE),"")</x:f>
        <x:v>N</x:v>
      </x:c>
      <x:c r="R144" s="45" t="n">
        <x:f>IFERROR(VLOOKUP($A144,'05_贷后表现'!$A$5:$J$137,8,FALSE),"")</x:f>
        <x:v>9</x:v>
      </x:c>
      <x:c r="S144" s="35" t="str">
        <x:f>IF(F144&lt;500,"REJECT",IF(OR(I144&gt;=2,J144&gt;60),"REJECT",IF(F144&lt;560,"REVIEW",IF(G144="","REVIEW",IF(AND(L144&lt;&gt;"Y",G144&gt;0.7),"REVIEW","PASS")))))</x:f>
        <x:v>PASS</x:v>
      </x:c>
      <x:c r="T144" s="35" t="str">
        <x:f>M144&amp;"→"&amp;S144</x:f>
        <x:v>PASS→PASS</x:v>
      </x:c>
    </x:row>
    <x:row r="145">
      <x:c r="A145" s="42" t="str">
        <x:v>APP2025000141</x:v>
      </x:c>
      <x:c r="B145" s="43" t="n">
        <x:f>VLOOKUP($A145,'01_申请数据'!$A$5:$L$204,3,FALSE)</x:f>
        <x:v>45677.43472222222</x:v>
      </x:c>
      <x:c r="C145" s="44" t="n">
        <x:f>VLOOKUP($A145,'01_申请数据'!$A$5:$L$204,5,FALSE)</x:f>
        <x:v>139000</x:v>
      </x:c>
      <x:c r="D145" s="45" t="n">
        <x:f>VLOOKUP($A145,'01_申请数据'!$A$5:$L$204,6,FALSE)</x:f>
        <x:v>18</x:v>
      </x:c>
      <x:c r="E145" s="44" t="n">
        <x:f>VLOOKUP($A145,'01_申请数据'!$A$5:$L$204,10,FALSE)</x:f>
        <x:v>9400</x:v>
      </x:c>
      <x:c r="F145" s="45" t="n">
        <x:f>VLOOKUP($A145,'02_征信特征'!$A$5:$J$204,3,FALSE)</x:f>
        <x:v>625</x:v>
      </x:c>
      <x:c r="G145" s="46" t="n">
        <x:f>VLOOKUP($A145,'02_征信特征'!$A$5:$J$204,4,FALSE)</x:f>
        <x:v>0.534</x:v>
      </x:c>
      <x:c r="H145" s="45" t="n">
        <x:f>VLOOKUP($A145,'02_征信特征'!$A$5:$J$204,5,FALSE)</x:f>
        <x:v>0</x:v>
      </x:c>
      <x:c r="I145" s="45" t="n">
        <x:f>VLOOKUP($A145,'02_征信特征'!$A$5:$J$204,6,FALSE)</x:f>
        <x:v>2</x:v>
      </x:c>
      <x:c r="J145" s="45" t="n">
        <x:f>VLOOKUP($A145,'02_征信特征'!$A$5:$J$204,7,FALSE)</x:f>
        <x:v>70</x:v>
      </x:c>
      <x:c r="K145" s="45" t="n">
        <x:f>VLOOKUP($A145,'02_征信特征'!$A$5:$J$204,8,FALSE)</x:f>
        <x:v>1</x:v>
      </x:c>
      <x:c r="L145" s="42" t="str">
        <x:f>VLOOKUP($A145,'02_征信特征'!$A$5:$J$204,9,FALSE)</x:f>
        <x:v>N</x:v>
      </x:c>
      <x:c r="M145" s="42" t="str">
        <x:f>VLOOKUP($A145,'03_决策日志'!$A$5:$G$204,4,FALSE)</x:f>
        <x:v>PASS</x:v>
      </x:c>
      <x:c r="N145" s="42" t="str">
        <x:f>IFERROR(VLOOKUP($A145,'04_人工审核'!$A$5:$H$57,6,FALSE),"NOT_REQUIRED")</x:f>
        <x:v>NOT_REQUIRED</x:v>
      </x:c>
      <x:c r="O145" s="42" t="str">
        <x:f>IFERROR(VLOOKUP($A145,'05_贷后表现'!$A$5:$J$137,2,FALSE),"N")</x:f>
        <x:v>Y</x:v>
      </x:c>
      <x:c r="P145" s="42" t="str">
        <x:f>IFERROR(VLOOKUP($A145,'05_贷后表现'!$A$5:$J$137,6,FALSE),"")</x:f>
        <x:v>N</x:v>
      </x:c>
      <x:c r="Q145" s="42" t="str">
        <x:f>IFERROR(VLOOKUP($A145,'05_贷后表现'!$A$5:$J$137,7,FALSE),"")</x:f>
        <x:v>N</x:v>
      </x:c>
      <x:c r="R145" s="45" t="n">
        <x:f>IFERROR(VLOOKUP($A145,'05_贷后表现'!$A$5:$J$137,8,FALSE),"")</x:f>
        <x:v>13</x:v>
      </x:c>
      <x:c r="S145" s="35" t="str">
        <x:f>IF(F145&lt;500,"REJECT",IF(OR(I145&gt;=2,J145&gt;60),"REJECT",IF(F145&lt;560,"REVIEW",IF(G145="","REVIEW",IF(AND(L145&lt;&gt;"Y",G145&gt;0.7),"REVIEW","PASS")))))</x:f>
        <x:v>REJECT</x:v>
      </x:c>
      <x:c r="T145" s="35" t="str">
        <x:f>M145&amp;"→"&amp;S145</x:f>
        <x:v>PASS→REJECT</x:v>
      </x:c>
    </x:row>
    <x:row r="146">
      <x:c r="A146" s="42" t="str">
        <x:v>APP2025000142</x:v>
      </x:c>
      <x:c r="B146" s="43" t="n">
        <x:f>VLOOKUP($A146,'01_申请数据'!$A$5:$L$204,3,FALSE)</x:f>
        <x:v>45808.37777777778</x:v>
      </x:c>
      <x:c r="C146" s="44" t="n">
        <x:f>VLOOKUP($A146,'01_申请数据'!$A$5:$L$204,5,FALSE)</x:f>
        <x:v>90000</x:v>
      </x:c>
      <x:c r="D146" s="45" t="n">
        <x:f>VLOOKUP($A146,'01_申请数据'!$A$5:$L$204,6,FALSE)</x:f>
        <x:v>12</x:v>
      </x:c>
      <x:c r="E146" s="44" t="n">
        <x:f>VLOOKUP($A146,'01_申请数据'!$A$5:$L$204,10,FALSE)</x:f>
        <x:v>9700</x:v>
      </x:c>
      <x:c r="F146" s="45" t="n">
        <x:f>VLOOKUP($A146,'02_征信特征'!$A$5:$J$204,3,FALSE)</x:f>
        <x:v>630</x:v>
      </x:c>
      <x:c r="G146" s="46" t="n">
        <x:f>VLOOKUP($A146,'02_征信特征'!$A$5:$J$204,4,FALSE)</x:f>
        <x:v>0.338</x:v>
      </x:c>
      <x:c r="H146" s="45" t="n">
        <x:f>VLOOKUP($A146,'02_征信特征'!$A$5:$J$204,5,FALSE)</x:f>
        <x:v>5</x:v>
      </x:c>
      <x:c r="I146" s="45" t="n">
        <x:f>VLOOKUP($A146,'02_征信特征'!$A$5:$J$204,6,FALSE)</x:f>
        <x:v>0</x:v>
      </x:c>
      <x:c r="J146" s="45" t="n">
        <x:f>VLOOKUP($A146,'02_征信特征'!$A$5:$J$204,7,FALSE)</x:f>
        <x:v>0</x:v>
      </x:c>
      <x:c r="K146" s="45" t="n">
        <x:f>VLOOKUP($A146,'02_征信特征'!$A$5:$J$204,8,FALSE)</x:f>
        <x:v>5</x:v>
      </x:c>
      <x:c r="L146" s="42" t="str">
        <x:f>VLOOKUP($A146,'02_征信特征'!$A$5:$J$204,9,FALSE)</x:f>
        <x:v>N</x:v>
      </x:c>
      <x:c r="M146" s="42" t="str">
        <x:f>VLOOKUP($A146,'03_决策日志'!$A$5:$G$204,4,FALSE)</x:f>
        <x:v>PASS</x:v>
      </x:c>
      <x:c r="N146" s="42" t="str">
        <x:f>IFERROR(VLOOKUP($A146,'04_人工审核'!$A$5:$H$57,6,FALSE),"NOT_REQUIRED")</x:f>
        <x:v>NOT_REQUIRED</x:v>
      </x:c>
      <x:c r="O146" s="42" t="str">
        <x:f>IFERROR(VLOOKUP($A146,'05_贷后表现'!$A$5:$J$137,2,FALSE),"N")</x:f>
        <x:v>N</x:v>
      </x:c>
      <x:c r="P146" s="42" t="str">
        <x:f>IFERROR(VLOOKUP($A146,'05_贷后表现'!$A$5:$J$137,6,FALSE),"")</x:f>
      </x:c>
      <x:c r="Q146" s="42" t="str">
        <x:f>IFERROR(VLOOKUP($A146,'05_贷后表现'!$A$5:$J$137,7,FALSE),"")</x:f>
      </x:c>
      <x:c r="R146" s="45" t="str">
        <x:f>IFERROR(VLOOKUP($A146,'05_贷后表现'!$A$5:$J$137,8,FALSE),"")</x:f>
      </x:c>
      <x:c r="S146" s="35" t="str">
        <x:f>IF(F146&lt;500,"REJECT",IF(OR(I146&gt;=2,J146&gt;60),"REJECT",IF(F146&lt;560,"REVIEW",IF(G146="","REVIEW",IF(AND(L146&lt;&gt;"Y",G146&gt;0.7),"REVIEW","PASS")))))</x:f>
        <x:v>PASS</x:v>
      </x:c>
      <x:c r="T146" s="35" t="str">
        <x:f>M146&amp;"→"&amp;S146</x:f>
        <x:v>PASS→PASS</x:v>
      </x:c>
    </x:row>
    <x:row r="147">
      <x:c r="A147" s="42" t="str">
        <x:v>APP2025000143</x:v>
      </x:c>
      <x:c r="B147" s="43" t="n">
        <x:f>VLOOKUP($A147,'01_申请数据'!$A$5:$L$204,3,FALSE)</x:f>
        <x:v>45666.33541666667</x:v>
      </x:c>
      <x:c r="C147" s="44" t="n">
        <x:f>VLOOKUP($A147,'01_申请数据'!$A$5:$L$204,5,FALSE)</x:f>
        <x:v>126000</x:v>
      </x:c>
      <x:c r="D147" s="45" t="n">
        <x:f>VLOOKUP($A147,'01_申请数据'!$A$5:$L$204,6,FALSE)</x:f>
        <x:v>6</x:v>
      </x:c>
      <x:c r="E147" s="44" t="n">
        <x:f>VLOOKUP($A147,'01_申请数据'!$A$5:$L$204,10,FALSE)</x:f>
        <x:v>10900</x:v>
      </x:c>
      <x:c r="F147" s="45" t="n">
        <x:f>VLOOKUP($A147,'02_征信特征'!$A$5:$J$204,3,FALSE)</x:f>
        <x:v>667</x:v>
      </x:c>
      <x:c r="G147" s="46" t="n">
        <x:f>VLOOKUP($A147,'02_征信特征'!$A$5:$J$204,4,FALSE)</x:f>
        <x:v>0.469</x:v>
      </x:c>
      <x:c r="H147" s="45" t="n">
        <x:f>VLOOKUP($A147,'02_征信特征'!$A$5:$J$204,5,FALSE)</x:f>
        <x:v>4</x:v>
      </x:c>
      <x:c r="I147" s="45" t="n">
        <x:f>VLOOKUP($A147,'02_征信特征'!$A$5:$J$204,6,FALSE)</x:f>
        <x:v>0</x:v>
      </x:c>
      <x:c r="J147" s="45" t="n">
        <x:f>VLOOKUP($A147,'02_征信特征'!$A$5:$J$204,7,FALSE)</x:f>
        <x:v>0</x:v>
      </x:c>
      <x:c r="K147" s="45" t="n">
        <x:f>VLOOKUP($A147,'02_征信特征'!$A$5:$J$204,8,FALSE)</x:f>
        <x:v>3</x:v>
      </x:c>
      <x:c r="L147" s="42" t="str">
        <x:f>VLOOKUP($A147,'02_征信特征'!$A$5:$J$204,9,FALSE)</x:f>
        <x:v>N</x:v>
      </x:c>
      <x:c r="M147" s="42" t="str">
        <x:f>VLOOKUP($A147,'03_决策日志'!$A$5:$G$204,4,FALSE)</x:f>
        <x:v>PASS</x:v>
      </x:c>
      <x:c r="N147" s="42" t="str">
        <x:f>IFERROR(VLOOKUP($A147,'04_人工审核'!$A$5:$H$57,6,FALSE),"NOT_REQUIRED")</x:f>
        <x:v>NOT_REQUIRED</x:v>
      </x:c>
      <x:c r="O147" s="42" t="str">
        <x:f>IFERROR(VLOOKUP($A147,'05_贷后表现'!$A$5:$J$137,2,FALSE),"N")</x:f>
        <x:v>Y</x:v>
      </x:c>
      <x:c r="P147" s="42" t="str">
        <x:f>IFERROR(VLOOKUP($A147,'05_贷后表现'!$A$5:$J$137,6,FALSE),"")</x:f>
        <x:v>N</x:v>
      </x:c>
      <x:c r="Q147" s="42" t="str">
        <x:f>IFERROR(VLOOKUP($A147,'05_贷后表现'!$A$5:$J$137,7,FALSE),"")</x:f>
        <x:v>N</x:v>
      </x:c>
      <x:c r="R147" s="45" t="n">
        <x:f>IFERROR(VLOOKUP($A147,'05_贷后表现'!$A$5:$J$137,8,FALSE),"")</x:f>
        <x:v>15</x:v>
      </x:c>
      <x:c r="S147" s="35" t="str">
        <x:f>IF(F147&lt;500,"REJECT",IF(OR(I147&gt;=2,J147&gt;60),"REJECT",IF(F147&lt;560,"REVIEW",IF(G147="","REVIEW",IF(AND(L147&lt;&gt;"Y",G147&gt;0.7),"REVIEW","PASS")))))</x:f>
        <x:v>PASS</x:v>
      </x:c>
      <x:c r="T147" s="35" t="str">
        <x:f>M147&amp;"→"&amp;S147</x:f>
        <x:v>PASS→PASS</x:v>
      </x:c>
    </x:row>
    <x:row r="148">
      <x:c r="A148" s="42" t="str">
        <x:v>APP2025000144</x:v>
      </x:c>
      <x:c r="B148" s="43" t="n">
        <x:f>VLOOKUP($A148,'01_申请数据'!$A$5:$L$204,3,FALSE)</x:f>
        <x:v>45808.74166666667</x:v>
      </x:c>
      <x:c r="C148" s="44" t="n">
        <x:f>VLOOKUP($A148,'01_申请数据'!$A$5:$L$204,5,FALSE)</x:f>
        <x:v>131000</x:v>
      </x:c>
      <x:c r="D148" s="45" t="n">
        <x:f>VLOOKUP($A148,'01_申请数据'!$A$5:$L$204,6,FALSE)</x:f>
        <x:v>12</x:v>
      </x:c>
      <x:c r="E148" s="44" t="n">
        <x:f>VLOOKUP($A148,'01_申请数据'!$A$5:$L$204,10,FALSE)</x:f>
        <x:v>9800</x:v>
      </x:c>
      <x:c r="F148" s="45" t="n">
        <x:f>VLOOKUP($A148,'02_征信特征'!$A$5:$J$204,3,FALSE)</x:f>
        <x:v>548</x:v>
      </x:c>
      <x:c r="G148" s="46" t="n">
        <x:f>VLOOKUP($A148,'02_征信特征'!$A$5:$J$204,4,FALSE)</x:f>
        <x:v>0.453</x:v>
      </x:c>
      <x:c r="H148" s="45" t="n">
        <x:f>VLOOKUP($A148,'02_征信特征'!$A$5:$J$204,5,FALSE)</x:f>
        <x:v>2</x:v>
      </x:c>
      <x:c r="I148" s="45" t="n">
        <x:f>VLOOKUP($A148,'02_征信特征'!$A$5:$J$204,6,FALSE)</x:f>
        <x:v>4</x:v>
      </x:c>
      <x:c r="J148" s="45" t="n">
        <x:f>VLOOKUP($A148,'02_征信特征'!$A$5:$J$204,7,FALSE)</x:f>
        <x:v>18</x:v>
      </x:c>
      <x:c r="K148" s="45" t="n">
        <x:f>VLOOKUP($A148,'02_征信特征'!$A$5:$J$204,8,FALSE)</x:f>
        <x:v>2</x:v>
      </x:c>
      <x:c r="L148" s="42" t="str">
        <x:f>VLOOKUP($A148,'02_征信特征'!$A$5:$J$204,9,FALSE)</x:f>
        <x:v>N</x:v>
      </x:c>
      <x:c r="M148" s="42" t="str">
        <x:f>VLOOKUP($A148,'03_决策日志'!$A$5:$G$204,4,FALSE)</x:f>
        <x:v>REJECT</x:v>
      </x:c>
      <x:c r="N148" s="42" t="str">
        <x:f>IFERROR(VLOOKUP($A148,'04_人工审核'!$A$5:$H$57,6,FALSE),"NOT_REQUIRED")</x:f>
        <x:v>NOT_REQUIRED</x:v>
      </x:c>
      <x:c r="O148" s="42" t="str">
        <x:f>IFERROR(VLOOKUP($A148,'05_贷后表现'!$A$5:$J$137,2,FALSE),"N")</x:f>
        <x:v>N</x:v>
      </x:c>
      <x:c r="P148" s="42" t="str">
        <x:f>IFERROR(VLOOKUP($A148,'05_贷后表现'!$A$5:$J$137,6,FALSE),"")</x:f>
      </x:c>
      <x:c r="Q148" s="42" t="str">
        <x:f>IFERROR(VLOOKUP($A148,'05_贷后表现'!$A$5:$J$137,7,FALSE),"")</x:f>
      </x:c>
      <x:c r="R148" s="45" t="str">
        <x:f>IFERROR(VLOOKUP($A148,'05_贷后表现'!$A$5:$J$137,8,FALSE),"")</x:f>
      </x:c>
      <x:c r="S148" s="35" t="str">
        <x:f>IF(F148&lt;500,"REJECT",IF(OR(I148&gt;=2,J148&gt;60),"REJECT",IF(F148&lt;560,"REVIEW",IF(G148="","REVIEW",IF(AND(L148&lt;&gt;"Y",G148&gt;0.7),"REVIEW","PASS")))))</x:f>
        <x:v>REJECT</x:v>
      </x:c>
      <x:c r="T148" s="35" t="str">
        <x:f>M148&amp;"→"&amp;S148</x:f>
        <x:v>REJECT→REJECT</x:v>
      </x:c>
    </x:row>
    <x:row r="149">
      <x:c r="A149" s="42" t="str">
        <x:v>APP2025000145</x:v>
      </x:c>
      <x:c r="B149" s="43" t="n">
        <x:f>VLOOKUP($A149,'01_申请数据'!$A$5:$L$204,3,FALSE)</x:f>
        <x:v>45680.58472222222</x:v>
      </x:c>
      <x:c r="C149" s="44" t="n">
        <x:f>VLOOKUP($A149,'01_申请数据'!$A$5:$L$204,5,FALSE)</x:f>
        <x:v>148000</x:v>
      </x:c>
      <x:c r="D149" s="45" t="n">
        <x:f>VLOOKUP($A149,'01_申请数据'!$A$5:$L$204,6,FALSE)</x:f>
        <x:v>12</x:v>
      </x:c>
      <x:c r="E149" s="44" t="n">
        <x:f>VLOOKUP($A149,'01_申请数据'!$A$5:$L$204,10,FALSE)</x:f>
        <x:v>24400</x:v>
      </x:c>
      <x:c r="F149" s="45" t="n">
        <x:f>VLOOKUP($A149,'02_征信特征'!$A$5:$J$204,3,FALSE)</x:f>
        <x:v>667</x:v>
      </x:c>
      <x:c r="G149" s="46" t="n">
        <x:f>VLOOKUP($A149,'02_征信特征'!$A$5:$J$204,4,FALSE)</x:f>
        <x:v>0.267</x:v>
      </x:c>
      <x:c r="H149" s="45" t="n">
        <x:f>VLOOKUP($A149,'02_征信特征'!$A$5:$J$204,5,FALSE)</x:f>
        <x:v>1</x:v>
      </x:c>
      <x:c r="I149" s="45" t="n">
        <x:f>VLOOKUP($A149,'02_征信特征'!$A$5:$J$204,6,FALSE)</x:f>
        <x:v>0</x:v>
      </x:c>
      <x:c r="J149" s="45" t="n">
        <x:f>VLOOKUP($A149,'02_征信特征'!$A$5:$J$204,7,FALSE)</x:f>
        <x:v>0</x:v>
      </x:c>
      <x:c r="K149" s="45" t="n">
        <x:f>VLOOKUP($A149,'02_征信特征'!$A$5:$J$204,8,FALSE)</x:f>
        <x:v>10</x:v>
      </x:c>
      <x:c r="L149" s="42" t="str">
        <x:f>VLOOKUP($A149,'02_征信特征'!$A$5:$J$204,9,FALSE)</x:f>
        <x:v>N</x:v>
      </x:c>
      <x:c r="M149" s="42" t="str">
        <x:f>VLOOKUP($A149,'03_决策日志'!$A$5:$G$204,4,FALSE)</x:f>
        <x:v>PASS</x:v>
      </x:c>
      <x:c r="N149" s="42" t="str">
        <x:f>IFERROR(VLOOKUP($A149,'04_人工审核'!$A$5:$H$57,6,FALSE),"NOT_REQUIRED")</x:f>
        <x:v>NOT_REQUIRED</x:v>
      </x:c>
      <x:c r="O149" s="42" t="str">
        <x:f>IFERROR(VLOOKUP($A149,'05_贷后表现'!$A$5:$J$137,2,FALSE),"N")</x:f>
        <x:v>Y</x:v>
      </x:c>
      <x:c r="P149" s="42" t="str">
        <x:f>IFERROR(VLOOKUP($A149,'05_贷后表现'!$A$5:$J$137,6,FALSE),"")</x:f>
        <x:v>N</x:v>
      </x:c>
      <x:c r="Q149" s="42" t="str">
        <x:f>IFERROR(VLOOKUP($A149,'05_贷后表现'!$A$5:$J$137,7,FALSE),"")</x:f>
        <x:v>N</x:v>
      </x:c>
      <x:c r="R149" s="45" t="n">
        <x:f>IFERROR(VLOOKUP($A149,'05_贷后表现'!$A$5:$J$137,8,FALSE),"")</x:f>
        <x:v>15</x:v>
      </x:c>
      <x:c r="S149" s="35" t="str">
        <x:f>IF(F149&lt;500,"REJECT",IF(OR(I149&gt;=2,J149&gt;60),"REJECT",IF(F149&lt;560,"REVIEW",IF(G149="","REVIEW",IF(AND(L149&lt;&gt;"Y",G149&gt;0.7),"REVIEW","PASS")))))</x:f>
        <x:v>PASS</x:v>
      </x:c>
      <x:c r="T149" s="35" t="str">
        <x:f>M149&amp;"→"&amp;S149</x:f>
        <x:v>PASS→PASS</x:v>
      </x:c>
    </x:row>
    <x:row r="150">
      <x:c r="A150" s="42" t="str">
        <x:v>APP2025000146</x:v>
      </x:c>
      <x:c r="B150" s="43" t="n">
        <x:f>VLOOKUP($A150,'01_申请数据'!$A$5:$L$204,3,FALSE)</x:f>
        <x:v>45752.62847222222</x:v>
      </x:c>
      <x:c r="C150" s="44" t="n">
        <x:f>VLOOKUP($A150,'01_申请数据'!$A$5:$L$204,5,FALSE)</x:f>
        <x:v>80000</x:v>
      </x:c>
      <x:c r="D150" s="45" t="n">
        <x:f>VLOOKUP($A150,'01_申请数据'!$A$5:$L$204,6,FALSE)</x:f>
        <x:v>36</x:v>
      </x:c>
      <x:c r="E150" s="44" t="n">
        <x:f>VLOOKUP($A150,'01_申请数据'!$A$5:$L$204,10,FALSE)</x:f>
        <x:v>24800</x:v>
      </x:c>
      <x:c r="F150" s="45" t="n">
        <x:f>VLOOKUP($A150,'02_征信特征'!$A$5:$J$204,3,FALSE)</x:f>
        <x:v>525</x:v>
      </x:c>
      <x:c r="G150" s="46" t="n">
        <x:f>VLOOKUP($A150,'02_征信特征'!$A$5:$J$204,4,FALSE)</x:f>
        <x:v>0.232</x:v>
      </x:c>
      <x:c r="H150" s="45" t="n">
        <x:f>VLOOKUP($A150,'02_征信特征'!$A$5:$J$204,5,FALSE)</x:f>
        <x:v>0</x:v>
      </x:c>
      <x:c r="I150" s="45" t="n">
        <x:f>VLOOKUP($A150,'02_征信特征'!$A$5:$J$204,6,FALSE)</x:f>
        <x:v>5</x:v>
      </x:c>
      <x:c r="J150" s="45" t="n">
        <x:f>VLOOKUP($A150,'02_征信特征'!$A$5:$J$204,7,FALSE)</x:f>
        <x:v>41</x:v>
      </x:c>
      <x:c r="K150" s="45" t="n">
        <x:f>VLOOKUP($A150,'02_征信特征'!$A$5:$J$204,8,FALSE)</x:f>
        <x:v>9</x:v>
      </x:c>
      <x:c r="L150" s="42" t="str">
        <x:f>VLOOKUP($A150,'02_征信特征'!$A$5:$J$204,9,FALSE)</x:f>
        <x:v>N</x:v>
      </x:c>
      <x:c r="M150" s="42" t="str">
        <x:f>VLOOKUP($A150,'03_决策日志'!$A$5:$G$204,4,FALSE)</x:f>
        <x:v>REJECT</x:v>
      </x:c>
      <x:c r="N150" s="42" t="str">
        <x:f>IFERROR(VLOOKUP($A150,'04_人工审核'!$A$5:$H$57,6,FALSE),"NOT_REQUIRED")</x:f>
        <x:v>NOT_REQUIRED</x:v>
      </x:c>
      <x:c r="O150" s="42" t="str">
        <x:f>IFERROR(VLOOKUP($A150,'05_贷后表现'!$A$5:$J$137,2,FALSE),"N")</x:f>
        <x:v>N</x:v>
      </x:c>
      <x:c r="P150" s="42" t="str">
        <x:f>IFERROR(VLOOKUP($A150,'05_贷后表现'!$A$5:$J$137,6,FALSE),"")</x:f>
      </x:c>
      <x:c r="Q150" s="42" t="str">
        <x:f>IFERROR(VLOOKUP($A150,'05_贷后表现'!$A$5:$J$137,7,FALSE),"")</x:f>
      </x:c>
      <x:c r="R150" s="45" t="str">
        <x:f>IFERROR(VLOOKUP($A150,'05_贷后表现'!$A$5:$J$137,8,FALSE),"")</x:f>
      </x:c>
      <x:c r="S150" s="35" t="str">
        <x:f>IF(F150&lt;500,"REJECT",IF(OR(I150&gt;=2,J150&gt;60),"REJECT",IF(F150&lt;560,"REVIEW",IF(G150="","REVIEW",IF(AND(L150&lt;&gt;"Y",G150&gt;0.7),"REVIEW","PASS")))))</x:f>
        <x:v>REJECT</x:v>
      </x:c>
      <x:c r="T150" s="35" t="str">
        <x:f>M150&amp;"→"&amp;S150</x:f>
        <x:v>REJECT→REJECT</x:v>
      </x:c>
    </x:row>
    <x:row r="151">
      <x:c r="A151" s="42" t="str">
        <x:v>APP2025000147</x:v>
      </x:c>
      <x:c r="B151" s="43" t="n">
        <x:f>VLOOKUP($A151,'01_申请数据'!$A$5:$L$204,3,FALSE)</x:f>
        <x:v>45762.66458333333</x:v>
      </x:c>
      <x:c r="C151" s="44" t="n">
        <x:f>VLOOKUP($A151,'01_申请数据'!$A$5:$L$204,5,FALSE)</x:f>
        <x:v>35000</x:v>
      </x:c>
      <x:c r="D151" s="45" t="n">
        <x:f>VLOOKUP($A151,'01_申请数据'!$A$5:$L$204,6,FALSE)</x:f>
        <x:v>36</x:v>
      </x:c>
      <x:c r="E151" s="44" t="n">
        <x:f>VLOOKUP($A151,'01_申请数据'!$A$5:$L$204,10,FALSE)</x:f>
        <x:v>28900</x:v>
      </x:c>
      <x:c r="F151" s="45" t="n">
        <x:f>VLOOKUP($A151,'02_征信特征'!$A$5:$J$204,3,FALSE)</x:f>
        <x:v>690</x:v>
      </x:c>
      <x:c r="G151" s="46" t="n">
        <x:f>VLOOKUP($A151,'02_征信特征'!$A$5:$J$204,4,FALSE)</x:f>
        <x:v>0.216</x:v>
      </x:c>
      <x:c r="H151" s="45" t="n">
        <x:f>VLOOKUP($A151,'02_征信特征'!$A$5:$J$204,5,FALSE)</x:f>
        <x:v>5</x:v>
      </x:c>
      <x:c r="I151" s="45" t="n">
        <x:f>VLOOKUP($A151,'02_征信特征'!$A$5:$J$204,6,FALSE)</x:f>
        <x:v>1</x:v>
      </x:c>
      <x:c r="J151" s="45" t="n">
        <x:f>VLOOKUP($A151,'02_征信特征'!$A$5:$J$204,7,FALSE)</x:f>
        <x:v>49</x:v>
      </x:c>
      <x:c r="K151" s="45" t="n">
        <x:f>VLOOKUP($A151,'02_征信特征'!$A$5:$J$204,8,FALSE)</x:f>
        <x:v>8</x:v>
      </x:c>
      <x:c r="L151" s="42" t="str">
        <x:f>VLOOKUP($A151,'02_征信特征'!$A$5:$J$204,9,FALSE)</x:f>
        <x:v>N</x:v>
      </x:c>
      <x:c r="M151" s="42" t="str">
        <x:f>VLOOKUP($A151,'03_决策日志'!$A$5:$G$204,4,FALSE)</x:f>
        <x:v>PASS</x:v>
      </x:c>
      <x:c r="N151" s="42" t="str">
        <x:f>IFERROR(VLOOKUP($A151,'04_人工审核'!$A$5:$H$57,6,FALSE),"NOT_REQUIRED")</x:f>
        <x:v>NOT_REQUIRED</x:v>
      </x:c>
      <x:c r="O151" s="42" t="str">
        <x:f>IFERROR(VLOOKUP($A151,'05_贷后表现'!$A$5:$J$137,2,FALSE),"N")</x:f>
        <x:v>Y</x:v>
      </x:c>
      <x:c r="P151" s="42" t="str">
        <x:f>IFERROR(VLOOKUP($A151,'05_贷后表现'!$A$5:$J$137,6,FALSE),"")</x:f>
        <x:v>N</x:v>
      </x:c>
      <x:c r="Q151" s="42" t="str">
        <x:f>IFERROR(VLOOKUP($A151,'05_贷后表现'!$A$5:$J$137,7,FALSE),"")</x:f>
        <x:v>N</x:v>
      </x:c>
      <x:c r="R151" s="45" t="n">
        <x:f>IFERROR(VLOOKUP($A151,'05_贷后表现'!$A$5:$J$137,8,FALSE),"")</x:f>
        <x:v>14</x:v>
      </x:c>
      <x:c r="S151" s="35" t="str">
        <x:f>IF(F151&lt;500,"REJECT",IF(OR(I151&gt;=2,J151&gt;60),"REJECT",IF(F151&lt;560,"REVIEW",IF(G151="","REVIEW",IF(AND(L151&lt;&gt;"Y",G151&gt;0.7),"REVIEW","PASS")))))</x:f>
        <x:v>PASS</x:v>
      </x:c>
      <x:c r="T151" s="35" t="str">
        <x:f>M151&amp;"→"&amp;S151</x:f>
        <x:v>PASS→PASS</x:v>
      </x:c>
    </x:row>
    <x:row r="152">
      <x:c r="A152" s="42" t="str">
        <x:v>APP2025000148</x:v>
      </x:c>
      <x:c r="B152" s="43" t="n">
        <x:f>VLOOKUP($A152,'01_申请数据'!$A$5:$L$204,3,FALSE)</x:f>
        <x:v>45772.4375</x:v>
      </x:c>
      <x:c r="C152" s="44" t="n">
        <x:f>VLOOKUP($A152,'01_申请数据'!$A$5:$L$204,5,FALSE)</x:f>
        <x:v>143000</x:v>
      </x:c>
      <x:c r="D152" s="45" t="n">
        <x:f>VLOOKUP($A152,'01_申请数据'!$A$5:$L$204,6,FALSE)</x:f>
        <x:v>6</x:v>
      </x:c>
      <x:c r="E152" s="44" t="n">
        <x:f>VLOOKUP($A152,'01_申请数据'!$A$5:$L$204,10,FALSE)</x:f>
        <x:v>21900</x:v>
      </x:c>
      <x:c r="F152" s="45" t="n">
        <x:f>VLOOKUP($A152,'02_征信特征'!$A$5:$J$204,3,FALSE)</x:f>
        <x:v>644</x:v>
      </x:c>
      <x:c r="G152" s="46" t="n">
        <x:f>VLOOKUP($A152,'02_征信特征'!$A$5:$J$204,4,FALSE)</x:f>
        <x:v>0.457</x:v>
      </x:c>
      <x:c r="H152" s="45" t="n">
        <x:f>VLOOKUP($A152,'02_征信特征'!$A$5:$J$204,5,FALSE)</x:f>
        <x:v>2</x:v>
      </x:c>
      <x:c r="I152" s="45" t="n">
        <x:f>VLOOKUP($A152,'02_征信特征'!$A$5:$J$204,6,FALSE)</x:f>
        <x:v>1</x:v>
      </x:c>
      <x:c r="J152" s="45" t="n">
        <x:f>VLOOKUP($A152,'02_征信特征'!$A$5:$J$204,7,FALSE)</x:f>
        <x:v>36</x:v>
      </x:c>
      <x:c r="K152" s="45" t="n">
        <x:f>VLOOKUP($A152,'02_征信特征'!$A$5:$J$204,8,FALSE)</x:f>
        <x:v>3</x:v>
      </x:c>
      <x:c r="L152" s="42" t="str">
        <x:f>VLOOKUP($A152,'02_征信特征'!$A$5:$J$204,9,FALSE)</x:f>
        <x:v>N</x:v>
      </x:c>
      <x:c r="M152" s="42" t="str">
        <x:f>VLOOKUP($A152,'03_决策日志'!$A$5:$G$204,4,FALSE)</x:f>
        <x:v>PASS</x:v>
      </x:c>
      <x:c r="N152" s="42" t="str">
        <x:f>IFERROR(VLOOKUP($A152,'04_人工审核'!$A$5:$H$57,6,FALSE),"NOT_REQUIRED")</x:f>
        <x:v>NOT_REQUIRED</x:v>
      </x:c>
      <x:c r="O152" s="42" t="str">
        <x:f>IFERROR(VLOOKUP($A152,'05_贷后表现'!$A$5:$J$137,2,FALSE),"N")</x:f>
        <x:v>N</x:v>
      </x:c>
      <x:c r="P152" s="42" t="str">
        <x:f>IFERROR(VLOOKUP($A152,'05_贷后表现'!$A$5:$J$137,6,FALSE),"")</x:f>
      </x:c>
      <x:c r="Q152" s="42" t="str">
        <x:f>IFERROR(VLOOKUP($A152,'05_贷后表现'!$A$5:$J$137,7,FALSE),"")</x:f>
      </x:c>
      <x:c r="R152" s="45" t="str">
        <x:f>IFERROR(VLOOKUP($A152,'05_贷后表现'!$A$5:$J$137,8,FALSE),"")</x:f>
      </x:c>
      <x:c r="S152" s="35" t="str">
        <x:f>IF(F152&lt;500,"REJECT",IF(OR(I152&gt;=2,J152&gt;60),"REJECT",IF(F152&lt;560,"REVIEW",IF(G152="","REVIEW",IF(AND(L152&lt;&gt;"Y",G152&gt;0.7),"REVIEW","PASS")))))</x:f>
        <x:v>PASS</x:v>
      </x:c>
      <x:c r="T152" s="35" t="str">
        <x:f>M152&amp;"→"&amp;S152</x:f>
        <x:v>PASS→PASS</x:v>
      </x:c>
    </x:row>
    <x:row r="153">
      <x:c r="A153" s="42" t="str">
        <x:v>APP2025000149</x:v>
      </x:c>
      <x:c r="B153" s="43" t="n">
        <x:f>VLOOKUP($A153,'01_申请数据'!$A$5:$L$204,3,FALSE)</x:f>
        <x:v>45758.73055555556</x:v>
      </x:c>
      <x:c r="C153" s="44" t="n">
        <x:f>VLOOKUP($A153,'01_申请数据'!$A$5:$L$204,5,FALSE)</x:f>
        <x:v>134000</x:v>
      </x:c>
      <x:c r="D153" s="45" t="n">
        <x:f>VLOOKUP($A153,'01_申请数据'!$A$5:$L$204,6,FALSE)</x:f>
        <x:v>12</x:v>
      </x:c>
      <x:c r="E153" s="44" t="n">
        <x:f>VLOOKUP($A153,'01_申请数据'!$A$5:$L$204,10,FALSE)</x:f>
        <x:v>15700</x:v>
      </x:c>
      <x:c r="F153" s="45" t="n">
        <x:f>VLOOKUP($A153,'02_征信特征'!$A$5:$J$204,3,FALSE)</x:f>
        <x:v>711</x:v>
      </x:c>
      <x:c r="G153" s="46" t="n">
        <x:f>VLOOKUP($A153,'02_征信特征'!$A$5:$J$204,4,FALSE)</x:f>
        <x:v>0.571</x:v>
      </x:c>
      <x:c r="H153" s="45" t="n">
        <x:f>VLOOKUP($A153,'02_征信特征'!$A$5:$J$204,5,FALSE)</x:f>
        <x:v>0</x:v>
      </x:c>
      <x:c r="I153" s="45" t="n">
        <x:f>VLOOKUP($A153,'02_征信特征'!$A$5:$J$204,6,FALSE)</x:f>
        <x:v>0</x:v>
      </x:c>
      <x:c r="J153" s="45" t="n">
        <x:f>VLOOKUP($A153,'02_征信特征'!$A$5:$J$204,7,FALSE)</x:f>
        <x:v>0</x:v>
      </x:c>
      <x:c r="K153" s="45" t="n">
        <x:f>VLOOKUP($A153,'02_征信特征'!$A$5:$J$204,8,FALSE)</x:f>
        <x:v>3</x:v>
      </x:c>
      <x:c r="L153" s="42" t="str">
        <x:f>VLOOKUP($A153,'02_征信特征'!$A$5:$J$204,9,FALSE)</x:f>
        <x:v>N</x:v>
      </x:c>
      <x:c r="M153" s="42" t="str">
        <x:f>VLOOKUP($A153,'03_决策日志'!$A$5:$G$204,4,FALSE)</x:f>
        <x:v>PASS</x:v>
      </x:c>
      <x:c r="N153" s="42" t="str">
        <x:f>IFERROR(VLOOKUP($A153,'04_人工审核'!$A$5:$H$57,6,FALSE),"NOT_REQUIRED")</x:f>
        <x:v>NOT_REQUIRED</x:v>
      </x:c>
      <x:c r="O153" s="42" t="str">
        <x:f>IFERROR(VLOOKUP($A153,'05_贷后表现'!$A$5:$J$137,2,FALSE),"N")</x:f>
        <x:v>Y</x:v>
      </x:c>
      <x:c r="P153" s="42" t="str">
        <x:f>IFERROR(VLOOKUP($A153,'05_贷后表现'!$A$5:$J$137,6,FALSE),"")</x:f>
        <x:v>N</x:v>
      </x:c>
      <x:c r="Q153" s="42" t="str">
        <x:f>IFERROR(VLOOKUP($A153,'05_贷后表现'!$A$5:$J$137,7,FALSE),"")</x:f>
        <x:v>N</x:v>
      </x:c>
      <x:c r="R153" s="45" t="n">
        <x:f>IFERROR(VLOOKUP($A153,'05_贷后表现'!$A$5:$J$137,8,FALSE),"")</x:f>
        <x:v>6</x:v>
      </x:c>
      <x:c r="S153" s="35" t="str">
        <x:f>IF(F153&lt;500,"REJECT",IF(OR(I153&gt;=2,J153&gt;60),"REJECT",IF(F153&lt;560,"REVIEW",IF(G153="","REVIEW",IF(AND(L153&lt;&gt;"Y",G153&gt;0.7),"REVIEW","PASS")))))</x:f>
        <x:v>PASS</x:v>
      </x:c>
      <x:c r="T153" s="35" t="str">
        <x:f>M153&amp;"→"&amp;S153</x:f>
        <x:v>PASS→PASS</x:v>
      </x:c>
    </x:row>
    <x:row r="154">
      <x:c r="A154" s="42" t="str">
        <x:v>APP2025000150</x:v>
      </x:c>
      <x:c r="B154" s="43" t="n">
        <x:f>VLOOKUP($A154,'01_申请数据'!$A$5:$L$204,3,FALSE)</x:f>
        <x:v>45724.69513888889</x:v>
      </x:c>
      <x:c r="C154" s="44" t="n">
        <x:f>VLOOKUP($A154,'01_申请数据'!$A$5:$L$204,5,FALSE)</x:f>
        <x:v>32000</x:v>
      </x:c>
      <x:c r="D154" s="45" t="n">
        <x:f>VLOOKUP($A154,'01_申请数据'!$A$5:$L$204,6,FALSE)</x:f>
        <x:v>18</x:v>
      </x:c>
      <x:c r="E154" s="44" t="n">
        <x:f>VLOOKUP($A154,'01_申请数据'!$A$5:$L$204,10,FALSE)</x:f>
        <x:v>25900</x:v>
      </x:c>
      <x:c r="F154" s="45" t="n">
        <x:f>VLOOKUP($A154,'02_征信特征'!$A$5:$J$204,3,FALSE)</x:f>
        <x:v>706</x:v>
      </x:c>
      <x:c r="G154" s="46" t="n">
        <x:f>VLOOKUP($A154,'02_征信特征'!$A$5:$J$204,4,FALSE)</x:f>
        <x:v>0.262</x:v>
      </x:c>
      <x:c r="H154" s="45" t="n">
        <x:f>VLOOKUP($A154,'02_征信特征'!$A$5:$J$204,5,FALSE)</x:f>
        <x:v>0</x:v>
      </x:c>
      <x:c r="I154" s="45" t="n">
        <x:f>VLOOKUP($A154,'02_征信特征'!$A$5:$J$204,6,FALSE)</x:f>
        <x:v>0</x:v>
      </x:c>
      <x:c r="J154" s="45" t="n">
        <x:f>VLOOKUP($A154,'02_征信特征'!$A$5:$J$204,7,FALSE)</x:f>
        <x:v>0</x:v>
      </x:c>
      <x:c r="K154" s="45" t="n">
        <x:f>VLOOKUP($A154,'02_征信特征'!$A$5:$J$204,8,FALSE)</x:f>
        <x:v>4</x:v>
      </x:c>
      <x:c r="L154" s="42" t="str">
        <x:f>VLOOKUP($A154,'02_征信特征'!$A$5:$J$204,9,FALSE)</x:f>
        <x:v>N</x:v>
      </x:c>
      <x:c r="M154" s="42" t="str">
        <x:f>VLOOKUP($A154,'03_决策日志'!$A$5:$G$204,4,FALSE)</x:f>
        <x:v>PASS</x:v>
      </x:c>
      <x:c r="N154" s="42" t="str">
        <x:f>IFERROR(VLOOKUP($A154,'04_人工审核'!$A$5:$H$57,6,FALSE),"NOT_REQUIRED")</x:f>
        <x:v>NOT_REQUIRED</x:v>
      </x:c>
      <x:c r="O154" s="42" t="str">
        <x:f>IFERROR(VLOOKUP($A154,'05_贷后表现'!$A$5:$J$137,2,FALSE),"N")</x:f>
        <x:v>Y</x:v>
      </x:c>
      <x:c r="P154" s="42" t="str">
        <x:f>IFERROR(VLOOKUP($A154,'05_贷后表现'!$A$5:$J$137,6,FALSE),"")</x:f>
        <x:v>N</x:v>
      </x:c>
      <x:c r="Q154" s="42" t="str">
        <x:f>IFERROR(VLOOKUP($A154,'05_贷后表现'!$A$5:$J$137,7,FALSE),"")</x:f>
        <x:v>N</x:v>
      </x:c>
      <x:c r="R154" s="45" t="n">
        <x:f>IFERROR(VLOOKUP($A154,'05_贷后表现'!$A$5:$J$137,8,FALSE),"")</x:f>
        <x:v>6</x:v>
      </x:c>
      <x:c r="S154" s="35" t="str">
        <x:f>IF(F154&lt;500,"REJECT",IF(OR(I154&gt;=2,J154&gt;60),"REJECT",IF(F154&lt;560,"REVIEW",IF(G154="","REVIEW",IF(AND(L154&lt;&gt;"Y",G154&gt;0.7),"REVIEW","PASS")))))</x:f>
        <x:v>PASS</x:v>
      </x:c>
      <x:c r="T154" s="35" t="str">
        <x:f>M154&amp;"→"&amp;S154</x:f>
        <x:v>PASS→PASS</x:v>
      </x:c>
    </x:row>
    <x:row r="155">
      <x:c r="A155" s="42" t="str">
        <x:v>APP2025000151</x:v>
      </x:c>
      <x:c r="B155" s="43" t="n">
        <x:f>VLOOKUP($A155,'01_申请数据'!$A$5:$L$204,3,FALSE)</x:f>
        <x:v>45683.40138888889</x:v>
      </x:c>
      <x:c r="C155" s="44" t="n">
        <x:f>VLOOKUP($A155,'01_申请数据'!$A$5:$L$204,5,FALSE)</x:f>
        <x:v>22000</x:v>
      </x:c>
      <x:c r="D155" s="45" t="n">
        <x:f>VLOOKUP($A155,'01_申请数据'!$A$5:$L$204,6,FALSE)</x:f>
        <x:v>6</x:v>
      </x:c>
      <x:c r="E155" s="44" t="n">
        <x:f>VLOOKUP($A155,'01_申请数据'!$A$5:$L$204,10,FALSE)</x:f>
        <x:v>12300</x:v>
      </x:c>
      <x:c r="F155" s="45" t="n">
        <x:f>VLOOKUP($A155,'02_征信特征'!$A$5:$J$204,3,FALSE)</x:f>
        <x:v>661</x:v>
      </x:c>
      <x:c r="G155" s="46" t="n">
        <x:f>VLOOKUP($A155,'02_征信特征'!$A$5:$J$204,4,FALSE)</x:f>
        <x:v>0.734</x:v>
      </x:c>
      <x:c r="H155" s="45" t="n">
        <x:f>VLOOKUP($A155,'02_征信特征'!$A$5:$J$204,5,FALSE)</x:f>
        <x:v>3</x:v>
      </x:c>
      <x:c r="I155" s="45" t="n">
        <x:f>VLOOKUP($A155,'02_征信特征'!$A$5:$J$204,6,FALSE)</x:f>
        <x:v>0</x:v>
      </x:c>
      <x:c r="J155" s="45" t="n">
        <x:f>VLOOKUP($A155,'02_征信特征'!$A$5:$J$204,7,FALSE)</x:f>
        <x:v>0</x:v>
      </x:c>
      <x:c r="K155" s="45" t="n">
        <x:f>VLOOKUP($A155,'02_征信特征'!$A$5:$J$204,8,FALSE)</x:f>
        <x:v>2</x:v>
      </x:c>
      <x:c r="L155" s="42" t="str">
        <x:f>VLOOKUP($A155,'02_征信特征'!$A$5:$J$204,9,FALSE)</x:f>
        <x:v>N</x:v>
      </x:c>
      <x:c r="M155" s="42" t="str">
        <x:f>VLOOKUP($A155,'03_决策日志'!$A$5:$G$204,4,FALSE)</x:f>
        <x:v>PASS</x:v>
      </x:c>
      <x:c r="N155" s="42" t="str">
        <x:f>IFERROR(VLOOKUP($A155,'04_人工审核'!$A$5:$H$57,6,FALSE),"NOT_REQUIRED")</x:f>
        <x:v>NOT_REQUIRED</x:v>
      </x:c>
      <x:c r="O155" s="42" t="str">
        <x:f>IFERROR(VLOOKUP($A155,'05_贷后表现'!$A$5:$J$137,2,FALSE),"N")</x:f>
        <x:v>Y</x:v>
      </x:c>
      <x:c r="P155" s="42" t="str">
        <x:f>IFERROR(VLOOKUP($A155,'05_贷后表现'!$A$5:$J$137,6,FALSE),"")</x:f>
        <x:v>N</x:v>
      </x:c>
      <x:c r="Q155" s="42" t="str">
        <x:f>IFERROR(VLOOKUP($A155,'05_贷后表现'!$A$5:$J$137,7,FALSE),"")</x:f>
        <x:v>N</x:v>
      </x:c>
      <x:c r="R155" s="45" t="n">
        <x:f>IFERROR(VLOOKUP($A155,'05_贷后表现'!$A$5:$J$137,8,FALSE),"")</x:f>
        <x:v>6</x:v>
      </x:c>
      <x:c r="S155" s="35" t="str">
        <x:f>IF(F155&lt;500,"REJECT",IF(OR(I155&gt;=2,J155&gt;60),"REJECT",IF(F155&lt;560,"REVIEW",IF(G155="","REVIEW",IF(AND(L155&lt;&gt;"Y",G155&gt;0.7),"REVIEW","PASS")))))</x:f>
        <x:v>REVIEW</x:v>
      </x:c>
      <x:c r="T155" s="35" t="str">
        <x:f>M155&amp;"→"&amp;S155</x:f>
        <x:v>PASS→REVIEW</x:v>
      </x:c>
    </x:row>
    <x:row r="156">
      <x:c r="A156" s="42" t="str">
        <x:v>APP2025000152</x:v>
      </x:c>
      <x:c r="B156" s="43" t="n">
        <x:f>VLOOKUP($A156,'01_申请数据'!$A$5:$L$204,3,FALSE)</x:f>
        <x:v>45699.69513888889</x:v>
      </x:c>
      <x:c r="C156" s="44" t="n">
        <x:f>VLOOKUP($A156,'01_申请数据'!$A$5:$L$204,5,FALSE)</x:f>
        <x:v>118000</x:v>
      </x:c>
      <x:c r="D156" s="45" t="n">
        <x:f>VLOOKUP($A156,'01_申请数据'!$A$5:$L$204,6,FALSE)</x:f>
        <x:v>12</x:v>
      </x:c>
      <x:c r="E156" s="44" t="n">
        <x:f>VLOOKUP($A156,'01_申请数据'!$A$5:$L$204,10,FALSE)</x:f>
        <x:v>17300</x:v>
      </x:c>
      <x:c r="F156" s="45" t="n">
        <x:f>VLOOKUP($A156,'02_征信特征'!$A$5:$J$204,3,FALSE)</x:f>
        <x:v>628</x:v>
      </x:c>
      <x:c r="G156" s="46" t="n">
        <x:f>VLOOKUP($A156,'02_征信特征'!$A$5:$J$204,4,FALSE)</x:f>
        <x:v>0.394</x:v>
      </x:c>
      <x:c r="H156" s="45" t="n">
        <x:f>VLOOKUP($A156,'02_征信特征'!$A$5:$J$204,5,FALSE)</x:f>
        <x:v>1</x:v>
      </x:c>
      <x:c r="I156" s="45" t="n">
        <x:f>VLOOKUP($A156,'02_征信特征'!$A$5:$J$204,6,FALSE)</x:f>
        <x:v>0</x:v>
      </x:c>
      <x:c r="J156" s="45" t="n">
        <x:f>VLOOKUP($A156,'02_征信特征'!$A$5:$J$204,7,FALSE)</x:f>
        <x:v>0</x:v>
      </x:c>
      <x:c r="K156" s="45" t="n">
        <x:f>VLOOKUP($A156,'02_征信特征'!$A$5:$J$204,8,FALSE)</x:f>
        <x:v>7</x:v>
      </x:c>
      <x:c r="L156" s="42" t="str">
        <x:f>VLOOKUP($A156,'02_征信特征'!$A$5:$J$204,9,FALSE)</x:f>
        <x:v>N</x:v>
      </x:c>
      <x:c r="M156" s="42" t="str">
        <x:f>VLOOKUP($A156,'03_决策日志'!$A$5:$G$204,4,FALSE)</x:f>
        <x:v>PASS</x:v>
      </x:c>
      <x:c r="N156" s="42" t="str">
        <x:f>IFERROR(VLOOKUP($A156,'04_人工审核'!$A$5:$H$57,6,FALSE),"NOT_REQUIRED")</x:f>
        <x:v>NOT_REQUIRED</x:v>
      </x:c>
      <x:c r="O156" s="42" t="str">
        <x:f>IFERROR(VLOOKUP($A156,'05_贷后表现'!$A$5:$J$137,2,FALSE),"N")</x:f>
        <x:v>Y</x:v>
      </x:c>
      <x:c r="P156" s="42" t="str">
        <x:f>IFERROR(VLOOKUP($A156,'05_贷后表现'!$A$5:$J$137,6,FALSE),"")</x:f>
        <x:v>N</x:v>
      </x:c>
      <x:c r="Q156" s="42" t="str">
        <x:f>IFERROR(VLOOKUP($A156,'05_贷后表现'!$A$5:$J$137,7,FALSE),"")</x:f>
        <x:v>N</x:v>
      </x:c>
      <x:c r="R156" s="45" t="n">
        <x:f>IFERROR(VLOOKUP($A156,'05_贷后表现'!$A$5:$J$137,8,FALSE),"")</x:f>
        <x:v>11</x:v>
      </x:c>
      <x:c r="S156" s="35" t="str">
        <x:f>IF(F156&lt;500,"REJECT",IF(OR(I156&gt;=2,J156&gt;60),"REJECT",IF(F156&lt;560,"REVIEW",IF(G156="","REVIEW",IF(AND(L156&lt;&gt;"Y",G156&gt;0.7),"REVIEW","PASS")))))</x:f>
        <x:v>PASS</x:v>
      </x:c>
      <x:c r="T156" s="35" t="str">
        <x:f>M156&amp;"→"&amp;S156</x:f>
        <x:v>PASS→PASS</x:v>
      </x:c>
    </x:row>
    <x:row r="157">
      <x:c r="A157" s="42" t="str">
        <x:v>APP2025000153</x:v>
      </x:c>
      <x:c r="B157" s="43" t="n">
        <x:f>VLOOKUP($A157,'01_申请数据'!$A$5:$L$204,3,FALSE)</x:f>
        <x:v>45757.64236111111</x:v>
      </x:c>
      <x:c r="C157" s="44" t="n">
        <x:f>VLOOKUP($A157,'01_申请数据'!$A$5:$L$204,5,FALSE)</x:f>
        <x:v>61000</x:v>
      </x:c>
      <x:c r="D157" s="45" t="n">
        <x:f>VLOOKUP($A157,'01_申请数据'!$A$5:$L$204,6,FALSE)</x:f>
        <x:v>24</x:v>
      </x:c>
      <x:c r="E157" s="44" t="n">
        <x:f>VLOOKUP($A157,'01_申请数据'!$A$5:$L$204,10,FALSE)</x:f>
        <x:v>19500</x:v>
      </x:c>
      <x:c r="F157" s="45" t="n">
        <x:f>VLOOKUP($A157,'02_征信特征'!$A$5:$J$204,3,FALSE)</x:f>
        <x:v>561</x:v>
      </x:c>
      <x:c r="G157" s="46" t="n">
        <x:f>VLOOKUP($A157,'02_征信特征'!$A$5:$J$204,4,FALSE)</x:f>
        <x:v>0.902</x:v>
      </x:c>
      <x:c r="H157" s="45" t="n">
        <x:f>VLOOKUP($A157,'02_征信特征'!$A$5:$J$204,5,FALSE)</x:f>
        <x:v>5</x:v>
      </x:c>
      <x:c r="I157" s="45" t="n">
        <x:f>VLOOKUP($A157,'02_征信特征'!$A$5:$J$204,6,FALSE)</x:f>
        <x:v>2</x:v>
      </x:c>
      <x:c r="J157" s="45" t="n">
        <x:f>VLOOKUP($A157,'02_征信特征'!$A$5:$J$204,7,FALSE)</x:f>
        <x:v>32</x:v>
      </x:c>
      <x:c r="K157" s="45" t="n">
        <x:f>VLOOKUP($A157,'02_征信特征'!$A$5:$J$204,8,FALSE)</x:f>
        <x:v>2</x:v>
      </x:c>
      <x:c r="L157" s="42" t="str">
        <x:f>VLOOKUP($A157,'02_征信特征'!$A$5:$J$204,9,FALSE)</x:f>
        <x:v>N</x:v>
      </x:c>
      <x:c r="M157" s="42" t="str">
        <x:f>VLOOKUP($A157,'03_决策日志'!$A$5:$G$204,4,FALSE)</x:f>
        <x:v>REVIEW</x:v>
      </x:c>
      <x:c r="N157" s="42" t="str">
        <x:f>IFERROR(VLOOKUP($A157,'04_人工审核'!$A$5:$H$57,6,FALSE),"NOT_REQUIRED")</x:f>
        <x:v>APPROVE</x:v>
      </x:c>
      <x:c r="O157" s="42" t="str">
        <x:f>IFERROR(VLOOKUP($A157,'05_贷后表现'!$A$5:$J$137,2,FALSE),"N")</x:f>
        <x:v>Y</x:v>
      </x:c>
      <x:c r="P157" s="42" t="str">
        <x:f>IFERROR(VLOOKUP($A157,'05_贷后表现'!$A$5:$J$137,6,FALSE),"")</x:f>
        <x:v>N</x:v>
      </x:c>
      <x:c r="Q157" s="42" t="str">
        <x:f>IFERROR(VLOOKUP($A157,'05_贷后表现'!$A$5:$J$137,7,FALSE),"")</x:f>
        <x:v>N</x:v>
      </x:c>
      <x:c r="R157" s="45" t="n">
        <x:f>IFERROR(VLOOKUP($A157,'05_贷后表现'!$A$5:$J$137,8,FALSE),"")</x:f>
        <x:v>6</x:v>
      </x:c>
      <x:c r="S157" s="35" t="str">
        <x:f>IF(F157&lt;500,"REJECT",IF(OR(I157&gt;=2,J157&gt;60),"REJECT",IF(F157&lt;560,"REVIEW",IF(G157="","REVIEW",IF(AND(L157&lt;&gt;"Y",G157&gt;0.7),"REVIEW","PASS")))))</x:f>
        <x:v>REJECT</x:v>
      </x:c>
      <x:c r="T157" s="35" t="str">
        <x:f>M157&amp;"→"&amp;S157</x:f>
        <x:v>REVIEW→REJECT</x:v>
      </x:c>
    </x:row>
    <x:row r="158">
      <x:c r="A158" s="42" t="str">
        <x:v>APP2025000154</x:v>
      </x:c>
      <x:c r="B158" s="43" t="n">
        <x:f>VLOOKUP($A158,'01_申请数据'!$A$5:$L$204,3,FALSE)</x:f>
        <x:v>45700.69583333333</x:v>
      </x:c>
      <x:c r="C158" s="44" t="n">
        <x:f>VLOOKUP($A158,'01_申请数据'!$A$5:$L$204,5,FALSE)</x:f>
        <x:v>133000</x:v>
      </x:c>
      <x:c r="D158" s="45" t="n">
        <x:f>VLOOKUP($A158,'01_申请数据'!$A$5:$L$204,6,FALSE)</x:f>
        <x:v>36</x:v>
      </x:c>
      <x:c r="E158" s="44" t="n">
        <x:f>VLOOKUP($A158,'01_申请数据'!$A$5:$L$204,10,FALSE)</x:f>
        <x:v>17200</x:v>
      </x:c>
      <x:c r="F158" s="45" t="n">
        <x:f>VLOOKUP($A158,'02_征信特征'!$A$5:$J$204,3,FALSE)</x:f>
        <x:v>454</x:v>
      </x:c>
      <x:c r="G158" s="46" t="n">
        <x:f>VLOOKUP($A158,'02_征信特征'!$A$5:$J$204,4,FALSE)</x:f>
        <x:v>0.817</x:v>
      </x:c>
      <x:c r="H158" s="45" t="n">
        <x:f>VLOOKUP($A158,'02_征信特征'!$A$5:$J$204,5,FALSE)</x:f>
        <x:v>3</x:v>
      </x:c>
      <x:c r="I158" s="45" t="n">
        <x:f>VLOOKUP($A158,'02_征信特征'!$A$5:$J$204,6,FALSE)</x:f>
        <x:v>4</x:v>
      </x:c>
      <x:c r="J158" s="45" t="n">
        <x:f>VLOOKUP($A158,'02_征信特征'!$A$5:$J$204,7,FALSE)</x:f>
        <x:v>14</x:v>
      </x:c>
      <x:c r="K158" s="45" t="n">
        <x:f>VLOOKUP($A158,'02_征信特征'!$A$5:$J$204,8,FALSE)</x:f>
        <x:v>11</x:v>
      </x:c>
      <x:c r="L158" s="42" t="str">
        <x:f>VLOOKUP($A158,'02_征信特征'!$A$5:$J$204,9,FALSE)</x:f>
        <x:v>N</x:v>
      </x:c>
      <x:c r="M158" s="42" t="str">
        <x:f>VLOOKUP($A158,'03_决策日志'!$A$5:$G$204,4,FALSE)</x:f>
        <x:v>REJECT</x:v>
      </x:c>
      <x:c r="N158" s="42" t="str">
        <x:f>IFERROR(VLOOKUP($A158,'04_人工审核'!$A$5:$H$57,6,FALSE),"NOT_REQUIRED")</x:f>
        <x:v>NOT_REQUIRED</x:v>
      </x:c>
      <x:c r="O158" s="42" t="str">
        <x:f>IFERROR(VLOOKUP($A158,'05_贷后表现'!$A$5:$J$137,2,FALSE),"N")</x:f>
        <x:v>N</x:v>
      </x:c>
      <x:c r="P158" s="42" t="str">
        <x:f>IFERROR(VLOOKUP($A158,'05_贷后表现'!$A$5:$J$137,6,FALSE),"")</x:f>
      </x:c>
      <x:c r="Q158" s="42" t="str">
        <x:f>IFERROR(VLOOKUP($A158,'05_贷后表现'!$A$5:$J$137,7,FALSE),"")</x:f>
      </x:c>
      <x:c r="R158" s="45" t="str">
        <x:f>IFERROR(VLOOKUP($A158,'05_贷后表现'!$A$5:$J$137,8,FALSE),"")</x:f>
      </x:c>
      <x:c r="S158" s="35" t="str">
        <x:f>IF(F158&lt;500,"REJECT",IF(OR(I158&gt;=2,J158&gt;60),"REJECT",IF(F158&lt;560,"REVIEW",IF(G158="","REVIEW",IF(AND(L158&lt;&gt;"Y",G158&gt;0.7),"REVIEW","PASS")))))</x:f>
        <x:v>REJECT</x:v>
      </x:c>
      <x:c r="T158" s="35" t="str">
        <x:f>M158&amp;"→"&amp;S158</x:f>
        <x:v>REJECT→REJECT</x:v>
      </x:c>
    </x:row>
    <x:row r="159">
      <x:c r="A159" s="42" t="str">
        <x:v>APP2025000155</x:v>
      </x:c>
      <x:c r="B159" s="43" t="n">
        <x:f>VLOOKUP($A159,'01_申请数据'!$A$5:$L$204,3,FALSE)</x:f>
        <x:v>45785.506944444445</x:v>
      </x:c>
      <x:c r="C159" s="44" t="n">
        <x:f>VLOOKUP($A159,'01_申请数据'!$A$5:$L$204,5,FALSE)</x:f>
        <x:v>69000</x:v>
      </x:c>
      <x:c r="D159" s="45" t="n">
        <x:f>VLOOKUP($A159,'01_申请数据'!$A$5:$L$204,6,FALSE)</x:f>
        <x:v>36</x:v>
      </x:c>
      <x:c r="E159" s="44" t="n">
        <x:f>VLOOKUP($A159,'01_申请数据'!$A$5:$L$204,10,FALSE)</x:f>
        <x:v>16100</x:v>
      </x:c>
      <x:c r="F159" s="45" t="n">
        <x:f>VLOOKUP($A159,'02_征信特征'!$A$5:$J$204,3,FALSE)</x:f>
        <x:v>610</x:v>
      </x:c>
      <x:c r="G159" s="46" t="str">
        <x:f>VLOOKUP($A159,'02_征信特征'!$A$5:$J$204,4,FALSE)</x:f>
      </x:c>
      <x:c r="H159" s="45" t="n">
        <x:f>VLOOKUP($A159,'02_征信特征'!$A$5:$J$204,5,FALSE)</x:f>
        <x:v>0</x:v>
      </x:c>
      <x:c r="I159" s="45" t="n">
        <x:f>VLOOKUP($A159,'02_征信特征'!$A$5:$J$204,6,FALSE)</x:f>
        <x:v>0</x:v>
      </x:c>
      <x:c r="J159" s="45" t="n">
        <x:f>VLOOKUP($A159,'02_征信特征'!$A$5:$J$204,7,FALSE)</x:f>
        <x:v>0</x:v>
      </x:c>
      <x:c r="K159" s="45" t="n">
        <x:f>VLOOKUP($A159,'02_征信特征'!$A$5:$J$204,8,FALSE)</x:f>
        <x:v>8</x:v>
      </x:c>
      <x:c r="L159" s="42" t="str">
        <x:f>VLOOKUP($A159,'02_征信特征'!$A$5:$J$204,9,FALSE)</x:f>
        <x:v>N</x:v>
      </x:c>
      <x:c r="M159" s="42" t="str">
        <x:f>VLOOKUP($A159,'03_决策日志'!$A$5:$G$204,4,FALSE)</x:f>
        <x:v>REVIEW</x:v>
      </x:c>
      <x:c r="N159" s="42" t="str">
        <x:f>IFERROR(VLOOKUP($A159,'04_人工审核'!$A$5:$H$57,6,FALSE),"NOT_REQUIRED")</x:f>
        <x:v>APPROVE</x:v>
      </x:c>
      <x:c r="O159" s="42" t="str">
        <x:f>IFERROR(VLOOKUP($A159,'05_贷后表现'!$A$5:$J$137,2,FALSE),"N")</x:f>
        <x:v>Y</x:v>
      </x:c>
      <x:c r="P159" s="42" t="str">
        <x:f>IFERROR(VLOOKUP($A159,'05_贷后表现'!$A$5:$J$137,6,FALSE),"")</x:f>
        <x:v>N</x:v>
      </x:c>
      <x:c r="Q159" s="42" t="str">
        <x:f>IFERROR(VLOOKUP($A159,'05_贷后表现'!$A$5:$J$137,7,FALSE),"")</x:f>
        <x:v>N</x:v>
      </x:c>
      <x:c r="R159" s="45" t="n">
        <x:f>IFERROR(VLOOKUP($A159,'05_贷后表现'!$A$5:$J$137,8,FALSE),"")</x:f>
        <x:v>15</x:v>
      </x:c>
      <x:c r="S159" s="35" t="str">
        <x:f>IF(F159&lt;500,"REJECT",IF(OR(I159&gt;=2,J159&gt;60),"REJECT",IF(F159&lt;560,"REVIEW",IF(G159="","REVIEW",IF(AND(L159&lt;&gt;"Y",G159&gt;0.7),"REVIEW","PASS")))))</x:f>
        <x:v>REVIEW</x:v>
      </x:c>
      <x:c r="T159" s="35" t="str">
        <x:f>M159&amp;"→"&amp;S159</x:f>
        <x:v>REVIEW→REVIEW</x:v>
      </x:c>
    </x:row>
    <x:row r="160">
      <x:c r="A160" s="42" t="str">
        <x:v>APP2025000156</x:v>
      </x:c>
      <x:c r="B160" s="43" t="n">
        <x:f>VLOOKUP($A160,'01_申请数据'!$A$5:$L$204,3,FALSE)</x:f>
        <x:v>45790.74236111111</x:v>
      </x:c>
      <x:c r="C160" s="44" t="n">
        <x:f>VLOOKUP($A160,'01_申请数据'!$A$5:$L$204,5,FALSE)</x:f>
        <x:v>35000</x:v>
      </x:c>
      <x:c r="D160" s="45" t="n">
        <x:f>VLOOKUP($A160,'01_申请数据'!$A$5:$L$204,6,FALSE)</x:f>
        <x:v>18</x:v>
      </x:c>
      <x:c r="E160" s="44" t="n">
        <x:f>VLOOKUP($A160,'01_申请数据'!$A$5:$L$204,10,FALSE)</x:f>
        <x:v>8700</x:v>
      </x:c>
      <x:c r="F160" s="45" t="n">
        <x:f>VLOOKUP($A160,'02_征信特征'!$A$5:$J$204,3,FALSE)</x:f>
        <x:v>626</x:v>
      </x:c>
      <x:c r="G160" s="46" t="n">
        <x:f>VLOOKUP($A160,'02_征信特征'!$A$5:$J$204,4,FALSE)</x:f>
        <x:v>0.468</x:v>
      </x:c>
      <x:c r="H160" s="45" t="n">
        <x:f>VLOOKUP($A160,'02_征信特征'!$A$5:$J$204,5,FALSE)</x:f>
        <x:v>0</x:v>
      </x:c>
      <x:c r="I160" s="45" t="n">
        <x:f>VLOOKUP($A160,'02_征信特征'!$A$5:$J$204,6,FALSE)</x:f>
        <x:v>1</x:v>
      </x:c>
      <x:c r="J160" s="45" t="n">
        <x:f>VLOOKUP($A160,'02_征信特征'!$A$5:$J$204,7,FALSE)</x:f>
        <x:v>66</x:v>
      </x:c>
      <x:c r="K160" s="45" t="n">
        <x:f>VLOOKUP($A160,'02_征信特征'!$A$5:$J$204,8,FALSE)</x:f>
        <x:v>9</x:v>
      </x:c>
      <x:c r="L160" s="42" t="str">
        <x:f>VLOOKUP($A160,'02_征信特征'!$A$5:$J$204,9,FALSE)</x:f>
        <x:v>N</x:v>
      </x:c>
      <x:c r="M160" s="42" t="str">
        <x:f>VLOOKUP($A160,'03_决策日志'!$A$5:$G$204,4,FALSE)</x:f>
        <x:v>PASS</x:v>
      </x:c>
      <x:c r="N160" s="42" t="str">
        <x:f>IFERROR(VLOOKUP($A160,'04_人工审核'!$A$5:$H$57,6,FALSE),"NOT_REQUIRED")</x:f>
        <x:v>NOT_REQUIRED</x:v>
      </x:c>
      <x:c r="O160" s="42" t="str">
        <x:f>IFERROR(VLOOKUP($A160,'05_贷后表现'!$A$5:$J$137,2,FALSE),"N")</x:f>
        <x:v>Y</x:v>
      </x:c>
      <x:c r="P160" s="42" t="str">
        <x:f>IFERROR(VLOOKUP($A160,'05_贷后表现'!$A$5:$J$137,6,FALSE),"")</x:f>
        <x:v>N</x:v>
      </x:c>
      <x:c r="Q160" s="42" t="str">
        <x:f>IFERROR(VLOOKUP($A160,'05_贷后表现'!$A$5:$J$137,7,FALSE),"")</x:f>
        <x:v>N</x:v>
      </x:c>
      <x:c r="R160" s="45" t="n">
        <x:f>IFERROR(VLOOKUP($A160,'05_贷后表现'!$A$5:$J$137,8,FALSE),"")</x:f>
        <x:v>10</x:v>
      </x:c>
      <x:c r="S160" s="35" t="str">
        <x:f>IF(F160&lt;500,"REJECT",IF(OR(I160&gt;=2,J160&gt;60),"REJECT",IF(F160&lt;560,"REVIEW",IF(G160="","REVIEW",IF(AND(L160&lt;&gt;"Y",G160&gt;0.7),"REVIEW","PASS")))))</x:f>
        <x:v>REJECT</x:v>
      </x:c>
      <x:c r="T160" s="35" t="str">
        <x:f>M160&amp;"→"&amp;S160</x:f>
        <x:v>PASS→REJECT</x:v>
      </x:c>
    </x:row>
    <x:row r="161">
      <x:c r="A161" s="42" t="str">
        <x:v>APP2025000157</x:v>
      </x:c>
      <x:c r="B161" s="43" t="n">
        <x:f>VLOOKUP($A161,'01_申请数据'!$A$5:$L$204,3,FALSE)</x:f>
        <x:v>45780.697222222225</x:v>
      </x:c>
      <x:c r="C161" s="44" t="n">
        <x:f>VLOOKUP($A161,'01_申请数据'!$A$5:$L$204,5,FALSE)</x:f>
        <x:v>28000</x:v>
      </x:c>
      <x:c r="D161" s="45" t="n">
        <x:f>VLOOKUP($A161,'01_申请数据'!$A$5:$L$204,6,FALSE)</x:f>
        <x:v>6</x:v>
      </x:c>
      <x:c r="E161" s="44" t="n">
        <x:f>VLOOKUP($A161,'01_申请数据'!$A$5:$L$204,10,FALSE)</x:f>
        <x:v>27800</x:v>
      </x:c>
      <x:c r="F161" s="45" t="n">
        <x:f>VLOOKUP($A161,'02_征信特征'!$A$5:$J$204,3,FALSE)</x:f>
        <x:v>665</x:v>
      </x:c>
      <x:c r="G161" s="46" t="n">
        <x:f>VLOOKUP($A161,'02_征信特征'!$A$5:$J$204,4,FALSE)</x:f>
        <x:v>0.615</x:v>
      </x:c>
      <x:c r="H161" s="45" t="n">
        <x:f>VLOOKUP($A161,'02_征信特征'!$A$5:$J$204,5,FALSE)</x:f>
        <x:v>0</x:v>
      </x:c>
      <x:c r="I161" s="45" t="n">
        <x:f>VLOOKUP($A161,'02_征信特征'!$A$5:$J$204,6,FALSE)</x:f>
        <x:v>1</x:v>
      </x:c>
      <x:c r="J161" s="45" t="n">
        <x:f>VLOOKUP($A161,'02_征信特征'!$A$5:$J$204,7,FALSE)</x:f>
        <x:v>22</x:v>
      </x:c>
      <x:c r="K161" s="45" t="n">
        <x:f>VLOOKUP($A161,'02_征信特征'!$A$5:$J$204,8,FALSE)</x:f>
        <x:v>10</x:v>
      </x:c>
      <x:c r="L161" s="42" t="str">
        <x:f>VLOOKUP($A161,'02_征信特征'!$A$5:$J$204,9,FALSE)</x:f>
        <x:v>N</x:v>
      </x:c>
      <x:c r="M161" s="42" t="str">
        <x:f>VLOOKUP($A161,'03_决策日志'!$A$5:$G$204,4,FALSE)</x:f>
        <x:v>PASS</x:v>
      </x:c>
      <x:c r="N161" s="42" t="str">
        <x:f>IFERROR(VLOOKUP($A161,'04_人工审核'!$A$5:$H$57,6,FALSE),"NOT_REQUIRED")</x:f>
        <x:v>NOT_REQUIRED</x:v>
      </x:c>
      <x:c r="O161" s="42" t="str">
        <x:f>IFERROR(VLOOKUP($A161,'05_贷后表现'!$A$5:$J$137,2,FALSE),"N")</x:f>
        <x:v>Y</x:v>
      </x:c>
      <x:c r="P161" s="42" t="str">
        <x:f>IFERROR(VLOOKUP($A161,'05_贷后表现'!$A$5:$J$137,6,FALSE),"")</x:f>
        <x:v>N</x:v>
      </x:c>
      <x:c r="Q161" s="42" t="str">
        <x:f>IFERROR(VLOOKUP($A161,'05_贷后表现'!$A$5:$J$137,7,FALSE),"")</x:f>
        <x:v>N</x:v>
      </x:c>
      <x:c r="R161" s="45" t="n">
        <x:f>IFERROR(VLOOKUP($A161,'05_贷后表现'!$A$5:$J$137,8,FALSE),"")</x:f>
        <x:v>7</x:v>
      </x:c>
      <x:c r="S161" s="35" t="str">
        <x:f>IF(F161&lt;500,"REJECT",IF(OR(I161&gt;=2,J161&gt;60),"REJECT",IF(F161&lt;560,"REVIEW",IF(G161="","REVIEW",IF(AND(L161&lt;&gt;"Y",G161&gt;0.7),"REVIEW","PASS")))))</x:f>
        <x:v>PASS</x:v>
      </x:c>
      <x:c r="T161" s="35" t="str">
        <x:f>M161&amp;"→"&amp;S161</x:f>
        <x:v>PASS→PASS</x:v>
      </x:c>
    </x:row>
    <x:row r="162">
      <x:c r="A162" s="42" t="str">
        <x:v>APP2025000158</x:v>
      </x:c>
      <x:c r="B162" s="43" t="n">
        <x:f>VLOOKUP($A162,'01_申请数据'!$A$5:$L$204,3,FALSE)</x:f>
        <x:v>45744.657638888886</x:v>
      </x:c>
      <x:c r="C162" s="44" t="n">
        <x:f>VLOOKUP($A162,'01_申请数据'!$A$5:$L$204,5,FALSE)</x:f>
        <x:v>53000</x:v>
      </x:c>
      <x:c r="D162" s="45" t="n">
        <x:f>VLOOKUP($A162,'01_申请数据'!$A$5:$L$204,6,FALSE)</x:f>
        <x:v>24</x:v>
      </x:c>
      <x:c r="E162" s="44" t="n">
        <x:f>VLOOKUP($A162,'01_申请数据'!$A$5:$L$204,10,FALSE)</x:f>
        <x:v>8200</x:v>
      </x:c>
      <x:c r="F162" s="45" t="n">
        <x:f>VLOOKUP($A162,'02_征信特征'!$A$5:$J$204,3,FALSE)</x:f>
        <x:v>636</x:v>
      </x:c>
      <x:c r="G162" s="46" t="n">
        <x:f>VLOOKUP($A162,'02_征信特征'!$A$5:$J$204,4,FALSE)</x:f>
        <x:v>0.886</x:v>
      </x:c>
      <x:c r="H162" s="45" t="n">
        <x:f>VLOOKUP($A162,'02_征信特征'!$A$5:$J$204,5,FALSE)</x:f>
        <x:v>2</x:v>
      </x:c>
      <x:c r="I162" s="45" t="n">
        <x:f>VLOOKUP($A162,'02_征信特征'!$A$5:$J$204,6,FALSE)</x:f>
        <x:v>0</x:v>
      </x:c>
      <x:c r="J162" s="45" t="n">
        <x:f>VLOOKUP($A162,'02_征信特征'!$A$5:$J$204,7,FALSE)</x:f>
        <x:v>0</x:v>
      </x:c>
      <x:c r="K162" s="45" t="n">
        <x:f>VLOOKUP($A162,'02_征信特征'!$A$5:$J$204,8,FALSE)</x:f>
        <x:v>1</x:v>
      </x:c>
      <x:c r="L162" s="42" t="str">
        <x:f>VLOOKUP($A162,'02_征信特征'!$A$5:$J$204,9,FALSE)</x:f>
        <x:v>Y</x:v>
      </x:c>
      <x:c r="M162" s="42" t="str">
        <x:f>VLOOKUP($A162,'03_决策日志'!$A$5:$G$204,4,FALSE)</x:f>
        <x:v>PASS</x:v>
      </x:c>
      <x:c r="N162" s="42" t="str">
        <x:f>IFERROR(VLOOKUP($A162,'04_人工审核'!$A$5:$H$57,6,FALSE),"NOT_REQUIRED")</x:f>
        <x:v>NOT_REQUIRED</x:v>
      </x:c>
      <x:c r="O162" s="42" t="str">
        <x:f>IFERROR(VLOOKUP($A162,'05_贷后表现'!$A$5:$J$137,2,FALSE),"N")</x:f>
        <x:v>Y</x:v>
      </x:c>
      <x:c r="P162" s="42" t="str">
        <x:f>IFERROR(VLOOKUP($A162,'05_贷后表现'!$A$5:$J$137,6,FALSE),"")</x:f>
        <x:v>N</x:v>
      </x:c>
      <x:c r="Q162" s="42" t="str">
        <x:f>IFERROR(VLOOKUP($A162,'05_贷后表现'!$A$5:$J$137,7,FALSE),"")</x:f>
        <x:v>N</x:v>
      </x:c>
      <x:c r="R162" s="45" t="n">
        <x:f>IFERROR(VLOOKUP($A162,'05_贷后表现'!$A$5:$J$137,8,FALSE),"")</x:f>
        <x:v>6</x:v>
      </x:c>
      <x:c r="S162" s="35" t="str">
        <x:f>IF(F162&lt;500,"REJECT",IF(OR(I162&gt;=2,J162&gt;60),"REJECT",IF(F162&lt;560,"REVIEW",IF(G162="","REVIEW",IF(AND(L162&lt;&gt;"Y",G162&gt;0.7),"REVIEW","PASS")))))</x:f>
        <x:v>PASS</x:v>
      </x:c>
      <x:c r="T162" s="35" t="str">
        <x:f>M162&amp;"→"&amp;S162</x:f>
        <x:v>PASS→PASS</x:v>
      </x:c>
    </x:row>
    <x:row r="163">
      <x:c r="A163" s="42" t="str">
        <x:v>APP2025000159</x:v>
      </x:c>
      <x:c r="B163" s="43" t="n">
        <x:f>VLOOKUP($A163,'01_申请数据'!$A$5:$L$204,3,FALSE)</x:f>
        <x:v>45670.38125</x:v>
      </x:c>
      <x:c r="C163" s="44" t="n">
        <x:f>VLOOKUP($A163,'01_申请数据'!$A$5:$L$204,5,FALSE)</x:f>
        <x:v>129000</x:v>
      </x:c>
      <x:c r="D163" s="45" t="n">
        <x:f>VLOOKUP($A163,'01_申请数据'!$A$5:$L$204,6,FALSE)</x:f>
        <x:v>18</x:v>
      </x:c>
      <x:c r="E163" s="44" t="n">
        <x:f>VLOOKUP($A163,'01_申请数据'!$A$5:$L$204,10,FALSE)</x:f>
        <x:v>4700</x:v>
      </x:c>
      <x:c r="F163" s="45" t="n">
        <x:f>VLOOKUP($A163,'02_征信特征'!$A$5:$J$204,3,FALSE)</x:f>
        <x:v>629</x:v>
      </x:c>
      <x:c r="G163" s="46" t="n">
        <x:f>VLOOKUP($A163,'02_征信特征'!$A$5:$J$204,4,FALSE)</x:f>
        <x:v>0.299</x:v>
      </x:c>
      <x:c r="H163" s="45" t="n">
        <x:f>VLOOKUP($A163,'02_征信特征'!$A$5:$J$204,5,FALSE)</x:f>
        <x:v>4</x:v>
      </x:c>
      <x:c r="I163" s="45" t="n">
        <x:f>VLOOKUP($A163,'02_征信特征'!$A$5:$J$204,6,FALSE)</x:f>
        <x:v>0</x:v>
      </x:c>
      <x:c r="J163" s="45" t="n">
        <x:f>VLOOKUP($A163,'02_征信特征'!$A$5:$J$204,7,FALSE)</x:f>
        <x:v>0</x:v>
      </x:c>
      <x:c r="K163" s="45" t="n">
        <x:f>VLOOKUP($A163,'02_征信特征'!$A$5:$J$204,8,FALSE)</x:f>
        <x:v>11</x:v>
      </x:c>
      <x:c r="L163" s="42" t="str">
        <x:f>VLOOKUP($A163,'02_征信特征'!$A$5:$J$204,9,FALSE)</x:f>
        <x:v>N</x:v>
      </x:c>
      <x:c r="M163" s="42" t="str">
        <x:f>VLOOKUP($A163,'03_决策日志'!$A$5:$G$204,4,FALSE)</x:f>
        <x:v>PASS</x:v>
      </x:c>
      <x:c r="N163" s="42" t="str">
        <x:f>IFERROR(VLOOKUP($A163,'04_人工审核'!$A$5:$H$57,6,FALSE),"NOT_REQUIRED")</x:f>
        <x:v>NOT_REQUIRED</x:v>
      </x:c>
      <x:c r="O163" s="42" t="str">
        <x:f>IFERROR(VLOOKUP($A163,'05_贷后表现'!$A$5:$J$137,2,FALSE),"N")</x:f>
        <x:v>Y</x:v>
      </x:c>
      <x:c r="P163" s="42" t="str">
        <x:f>IFERROR(VLOOKUP($A163,'05_贷后表现'!$A$5:$J$137,6,FALSE),"")</x:f>
        <x:v>N</x:v>
      </x:c>
      <x:c r="Q163" s="42" t="str">
        <x:f>IFERROR(VLOOKUP($A163,'05_贷后表现'!$A$5:$J$137,7,FALSE),"")</x:f>
        <x:v>N</x:v>
      </x:c>
      <x:c r="R163" s="45" t="n">
        <x:f>IFERROR(VLOOKUP($A163,'05_贷后表现'!$A$5:$J$137,8,FALSE),"")</x:f>
        <x:v>14</x:v>
      </x:c>
      <x:c r="S163" s="35" t="str">
        <x:f>IF(F163&lt;500,"REJECT",IF(OR(I163&gt;=2,J163&gt;60),"REJECT",IF(F163&lt;560,"REVIEW",IF(G163="","REVIEW",IF(AND(L163&lt;&gt;"Y",G163&gt;0.7),"REVIEW","PASS")))))</x:f>
        <x:v>PASS</x:v>
      </x:c>
      <x:c r="T163" s="35" t="str">
        <x:f>M163&amp;"→"&amp;S163</x:f>
        <x:v>PASS→PASS</x:v>
      </x:c>
    </x:row>
    <x:row r="164">
      <x:c r="A164" s="42" t="str">
        <x:v>APP2025000160</x:v>
      </x:c>
      <x:c r="B164" s="43" t="n">
        <x:f>VLOOKUP($A164,'01_申请数据'!$A$5:$L$204,3,FALSE)</x:f>
        <x:v>45812.63055555556</x:v>
      </x:c>
      <x:c r="C164" s="44" t="n">
        <x:f>VLOOKUP($A164,'01_申请数据'!$A$5:$L$204,5,FALSE)</x:f>
        <x:v>26000</x:v>
      </x:c>
      <x:c r="D164" s="45" t="n">
        <x:f>VLOOKUP($A164,'01_申请数据'!$A$5:$L$204,6,FALSE)</x:f>
        <x:v>6</x:v>
      </x:c>
      <x:c r="E164" s="44" t="n">
        <x:f>VLOOKUP($A164,'01_申请数据'!$A$5:$L$204,10,FALSE)</x:f>
        <x:v>12700</x:v>
      </x:c>
      <x:c r="F164" s="45" t="n">
        <x:f>VLOOKUP($A164,'02_征信特征'!$A$5:$J$204,3,FALSE)</x:f>
        <x:v>718</x:v>
      </x:c>
      <x:c r="G164" s="46" t="n">
        <x:f>VLOOKUP($A164,'02_征信特征'!$A$5:$J$204,4,FALSE)</x:f>
        <x:v>0.292</x:v>
      </x:c>
      <x:c r="H164" s="45" t="n">
        <x:f>VLOOKUP($A164,'02_征信特征'!$A$5:$J$204,5,FALSE)</x:f>
        <x:v>0</x:v>
      </x:c>
      <x:c r="I164" s="45" t="n">
        <x:f>VLOOKUP($A164,'02_征信特征'!$A$5:$J$204,6,FALSE)</x:f>
        <x:v>0</x:v>
      </x:c>
      <x:c r="J164" s="45" t="n">
        <x:f>VLOOKUP($A164,'02_征信特征'!$A$5:$J$204,7,FALSE)</x:f>
        <x:v>0</x:v>
      </x:c>
      <x:c r="K164" s="45" t="n">
        <x:f>VLOOKUP($A164,'02_征信特征'!$A$5:$J$204,8,FALSE)</x:f>
        <x:v>3</x:v>
      </x:c>
      <x:c r="L164" s="42" t="str">
        <x:f>VLOOKUP($A164,'02_征信特征'!$A$5:$J$204,9,FALSE)</x:f>
        <x:v>N</x:v>
      </x:c>
      <x:c r="M164" s="42" t="str">
        <x:f>VLOOKUP($A164,'03_决策日志'!$A$5:$G$204,4,FALSE)</x:f>
        <x:v>PASS</x:v>
      </x:c>
      <x:c r="N164" s="42" t="str">
        <x:f>IFERROR(VLOOKUP($A164,'04_人工审核'!$A$5:$H$57,6,FALSE),"NOT_REQUIRED")</x:f>
        <x:v>NOT_REQUIRED</x:v>
      </x:c>
      <x:c r="O164" s="42" t="str">
        <x:f>IFERROR(VLOOKUP($A164,'05_贷后表现'!$A$5:$J$137,2,FALSE),"N")</x:f>
        <x:v>Y</x:v>
      </x:c>
      <x:c r="P164" s="42" t="str">
        <x:f>IFERROR(VLOOKUP($A164,'05_贷后表现'!$A$5:$J$137,6,FALSE),"")</x:f>
        <x:v>N</x:v>
      </x:c>
      <x:c r="Q164" s="42" t="str">
        <x:f>IFERROR(VLOOKUP($A164,'05_贷后表现'!$A$5:$J$137,7,FALSE),"")</x:f>
        <x:v>N</x:v>
      </x:c>
      <x:c r="R164" s="45" t="n">
        <x:f>IFERROR(VLOOKUP($A164,'05_贷后表现'!$A$5:$J$137,8,FALSE),"")</x:f>
        <x:v>9</x:v>
      </x:c>
      <x:c r="S164" s="35" t="str">
        <x:f>IF(F164&lt;500,"REJECT",IF(OR(I164&gt;=2,J164&gt;60),"REJECT",IF(F164&lt;560,"REVIEW",IF(G164="","REVIEW",IF(AND(L164&lt;&gt;"Y",G164&gt;0.7),"REVIEW","PASS")))))</x:f>
        <x:v>PASS</x:v>
      </x:c>
      <x:c r="T164" s="35" t="str">
        <x:f>M164&amp;"→"&amp;S164</x:f>
        <x:v>PASS→PASS</x:v>
      </x:c>
    </x:row>
    <x:row r="165">
      <x:c r="A165" s="42" t="str">
        <x:v>APP2025000161</x:v>
      </x:c>
      <x:c r="B165" s="43" t="n">
        <x:f>VLOOKUP($A165,'01_申请数据'!$A$5:$L$204,3,FALSE)</x:f>
        <x:v>45733.51875</x:v>
      </x:c>
      <x:c r="C165" s="44" t="n">
        <x:f>VLOOKUP($A165,'01_申请数据'!$A$5:$L$204,5,FALSE)</x:f>
        <x:v>34000</x:v>
      </x:c>
      <x:c r="D165" s="45" t="n">
        <x:f>VLOOKUP($A165,'01_申请数据'!$A$5:$L$204,6,FALSE)</x:f>
        <x:v>6</x:v>
      </x:c>
      <x:c r="E165" s="44" t="n">
        <x:f>VLOOKUP($A165,'01_申请数据'!$A$5:$L$204,10,FALSE)</x:f>
        <x:v>19000</x:v>
      </x:c>
      <x:c r="F165" s="45" t="n">
        <x:f>VLOOKUP($A165,'02_征信特征'!$A$5:$J$204,3,FALSE)</x:f>
        <x:v>639</x:v>
      </x:c>
      <x:c r="G165" s="46" t="n">
        <x:f>VLOOKUP($A165,'02_征信特征'!$A$5:$J$204,4,FALSE)</x:f>
        <x:v>0.946</x:v>
      </x:c>
      <x:c r="H165" s="45" t="n">
        <x:f>VLOOKUP($A165,'02_征信特征'!$A$5:$J$204,5,FALSE)</x:f>
        <x:v>4</x:v>
      </x:c>
      <x:c r="I165" s="45" t="n">
        <x:f>VLOOKUP($A165,'02_征信特征'!$A$5:$J$204,6,FALSE)</x:f>
        <x:v>0</x:v>
      </x:c>
      <x:c r="J165" s="45" t="n">
        <x:f>VLOOKUP($A165,'02_征信特征'!$A$5:$J$204,7,FALSE)</x:f>
        <x:v>0</x:v>
      </x:c>
      <x:c r="K165" s="45" t="n">
        <x:f>VLOOKUP($A165,'02_征信特征'!$A$5:$J$204,8,FALSE)</x:f>
        <x:v>0</x:v>
      </x:c>
      <x:c r="L165" s="42" t="str">
        <x:f>VLOOKUP($A165,'02_征信特征'!$A$5:$J$204,9,FALSE)</x:f>
        <x:v>N</x:v>
      </x:c>
      <x:c r="M165" s="42" t="str">
        <x:f>VLOOKUP($A165,'03_决策日志'!$A$5:$G$204,4,FALSE)</x:f>
        <x:v>REVIEW</x:v>
      </x:c>
      <x:c r="N165" s="42" t="str">
        <x:f>IFERROR(VLOOKUP($A165,'04_人工审核'!$A$5:$H$57,6,FALSE),"NOT_REQUIRED")</x:f>
        <x:v>APPROVE</x:v>
      </x:c>
      <x:c r="O165" s="42" t="str">
        <x:f>IFERROR(VLOOKUP($A165,'05_贷后表现'!$A$5:$J$137,2,FALSE),"N")</x:f>
        <x:v>Y</x:v>
      </x:c>
      <x:c r="P165" s="42" t="str">
        <x:f>IFERROR(VLOOKUP($A165,'05_贷后表现'!$A$5:$J$137,6,FALSE),"")</x:f>
        <x:v>N</x:v>
      </x:c>
      <x:c r="Q165" s="42" t="str">
        <x:f>IFERROR(VLOOKUP($A165,'05_贷后表现'!$A$5:$J$137,7,FALSE),"")</x:f>
        <x:v>N</x:v>
      </x:c>
      <x:c r="R165" s="45" t="n">
        <x:f>IFERROR(VLOOKUP($A165,'05_贷后表现'!$A$5:$J$137,8,FALSE),"")</x:f>
        <x:v>11</x:v>
      </x:c>
      <x:c r="S165" s="35" t="str">
        <x:f>IF(F165&lt;500,"REJECT",IF(OR(I165&gt;=2,J165&gt;60),"REJECT",IF(F165&lt;560,"REVIEW",IF(G165="","REVIEW",IF(AND(L165&lt;&gt;"Y",G165&gt;0.7),"REVIEW","PASS")))))</x:f>
        <x:v>REVIEW</x:v>
      </x:c>
      <x:c r="T165" s="35" t="str">
        <x:f>M165&amp;"→"&amp;S165</x:f>
        <x:v>REVIEW→REVIEW</x:v>
      </x:c>
    </x:row>
    <x:row r="166">
      <x:c r="A166" s="42" t="str">
        <x:v>APP2025000162</x:v>
      </x:c>
      <x:c r="B166" s="43" t="n">
        <x:f>VLOOKUP($A166,'01_申请数据'!$A$5:$L$204,3,FALSE)</x:f>
        <x:v>45791.472916666666</x:v>
      </x:c>
      <x:c r="C166" s="44" t="n">
        <x:f>VLOOKUP($A166,'01_申请数据'!$A$5:$L$204,5,FALSE)</x:f>
        <x:v>42000</x:v>
      </x:c>
      <x:c r="D166" s="45" t="n">
        <x:f>VLOOKUP($A166,'01_申请数据'!$A$5:$L$204,6,FALSE)</x:f>
        <x:v>24</x:v>
      </x:c>
      <x:c r="E166" s="44" t="n">
        <x:f>VLOOKUP($A166,'01_申请数据'!$A$5:$L$204,10,FALSE)</x:f>
        <x:v>17700</x:v>
      </x:c>
      <x:c r="F166" s="45" t="n">
        <x:f>VLOOKUP($A166,'02_征信特征'!$A$5:$J$204,3,FALSE)</x:f>
        <x:v>706</x:v>
      </x:c>
      <x:c r="G166" s="46" t="n">
        <x:f>VLOOKUP($A166,'02_征信特征'!$A$5:$J$204,4,FALSE)</x:f>
        <x:v>0.277</x:v>
      </x:c>
      <x:c r="H166" s="45" t="n">
        <x:f>VLOOKUP($A166,'02_征信特征'!$A$5:$J$204,5,FALSE)</x:f>
        <x:v>3</x:v>
      </x:c>
      <x:c r="I166" s="45" t="n">
        <x:f>VLOOKUP($A166,'02_征信特征'!$A$5:$J$204,6,FALSE)</x:f>
        <x:v>0</x:v>
      </x:c>
      <x:c r="J166" s="45" t="n">
        <x:f>VLOOKUP($A166,'02_征信特征'!$A$5:$J$204,7,FALSE)</x:f>
        <x:v>0</x:v>
      </x:c>
      <x:c r="K166" s="45" t="n">
        <x:f>VLOOKUP($A166,'02_征信特征'!$A$5:$J$204,8,FALSE)</x:f>
        <x:v>3</x:v>
      </x:c>
      <x:c r="L166" s="42" t="str">
        <x:f>VLOOKUP($A166,'02_征信特征'!$A$5:$J$204,9,FALSE)</x:f>
        <x:v>N</x:v>
      </x:c>
      <x:c r="M166" s="42" t="str">
        <x:f>VLOOKUP($A166,'03_决策日志'!$A$5:$G$204,4,FALSE)</x:f>
        <x:v>PASS</x:v>
      </x:c>
      <x:c r="N166" s="42" t="str">
        <x:f>IFERROR(VLOOKUP($A166,'04_人工审核'!$A$5:$H$57,6,FALSE),"NOT_REQUIRED")</x:f>
        <x:v>NOT_REQUIRED</x:v>
      </x:c>
      <x:c r="O166" s="42" t="str">
        <x:f>IFERROR(VLOOKUP($A166,'05_贷后表现'!$A$5:$J$137,2,FALSE),"N")</x:f>
        <x:v>Y</x:v>
      </x:c>
      <x:c r="P166" s="42" t="str">
        <x:f>IFERROR(VLOOKUP($A166,'05_贷后表现'!$A$5:$J$137,6,FALSE),"")</x:f>
        <x:v>N</x:v>
      </x:c>
      <x:c r="Q166" s="42" t="str">
        <x:f>IFERROR(VLOOKUP($A166,'05_贷后表现'!$A$5:$J$137,7,FALSE),"")</x:f>
        <x:v>N</x:v>
      </x:c>
      <x:c r="R166" s="45" t="n">
        <x:f>IFERROR(VLOOKUP($A166,'05_贷后表现'!$A$5:$J$137,8,FALSE),"")</x:f>
        <x:v>8</x:v>
      </x:c>
      <x:c r="S166" s="35" t="str">
        <x:f>IF(F166&lt;500,"REJECT",IF(OR(I166&gt;=2,J166&gt;60),"REJECT",IF(F166&lt;560,"REVIEW",IF(G166="","REVIEW",IF(AND(L166&lt;&gt;"Y",G166&gt;0.7),"REVIEW","PASS")))))</x:f>
        <x:v>PASS</x:v>
      </x:c>
      <x:c r="T166" s="35" t="str">
        <x:f>M166&amp;"→"&amp;S166</x:f>
        <x:v>PASS→PASS</x:v>
      </x:c>
    </x:row>
    <x:row r="167">
      <x:c r="A167" s="42" t="str">
        <x:v>APP2025000163</x:v>
      </x:c>
      <x:c r="B167" s="43" t="n">
        <x:f>VLOOKUP($A167,'01_申请数据'!$A$5:$L$204,3,FALSE)</x:f>
        <x:v>45677.56597222222</x:v>
      </x:c>
      <x:c r="C167" s="44" t="n">
        <x:f>VLOOKUP($A167,'01_申请数据'!$A$5:$L$204,5,FALSE)</x:f>
        <x:v>85000</x:v>
      </x:c>
      <x:c r="D167" s="45" t="n">
        <x:f>VLOOKUP($A167,'01_申请数据'!$A$5:$L$204,6,FALSE)</x:f>
        <x:v>6</x:v>
      </x:c>
      <x:c r="E167" s="44" t="n">
        <x:f>VLOOKUP($A167,'01_申请数据'!$A$5:$L$204,10,FALSE)</x:f>
        <x:v>28700</x:v>
      </x:c>
      <x:c r="F167" s="45" t="n">
        <x:f>VLOOKUP($A167,'02_征信特征'!$A$5:$J$204,3,FALSE)</x:f>
        <x:v>646</x:v>
      </x:c>
      <x:c r="G167" s="46" t="n">
        <x:f>VLOOKUP($A167,'02_征信特征'!$A$5:$J$204,4,FALSE)</x:f>
        <x:v>0.73</x:v>
      </x:c>
      <x:c r="H167" s="45" t="n">
        <x:f>VLOOKUP($A167,'02_征信特征'!$A$5:$J$204,5,FALSE)</x:f>
        <x:v>3</x:v>
      </x:c>
      <x:c r="I167" s="45" t="n">
        <x:f>VLOOKUP($A167,'02_征信特征'!$A$5:$J$204,6,FALSE)</x:f>
        <x:v>0</x:v>
      </x:c>
      <x:c r="J167" s="45" t="n">
        <x:f>VLOOKUP($A167,'02_征信特征'!$A$5:$J$204,7,FALSE)</x:f>
        <x:v>0</x:v>
      </x:c>
      <x:c r="K167" s="45" t="n">
        <x:f>VLOOKUP($A167,'02_征信特征'!$A$5:$J$204,8,FALSE)</x:f>
        <x:v>4</x:v>
      </x:c>
      <x:c r="L167" s="42" t="str">
        <x:f>VLOOKUP($A167,'02_征信特征'!$A$5:$J$204,9,FALSE)</x:f>
        <x:v>N</x:v>
      </x:c>
      <x:c r="M167" s="42" t="str">
        <x:f>VLOOKUP($A167,'03_决策日志'!$A$5:$G$204,4,FALSE)</x:f>
        <x:v>PASS</x:v>
      </x:c>
      <x:c r="N167" s="42" t="str">
        <x:f>IFERROR(VLOOKUP($A167,'04_人工审核'!$A$5:$H$57,6,FALSE),"NOT_REQUIRED")</x:f>
        <x:v>NOT_REQUIRED</x:v>
      </x:c>
      <x:c r="O167" s="42" t="str">
        <x:f>IFERROR(VLOOKUP($A167,'05_贷后表现'!$A$5:$J$137,2,FALSE),"N")</x:f>
        <x:v>Y</x:v>
      </x:c>
      <x:c r="P167" s="42" t="str">
        <x:f>IFERROR(VLOOKUP($A167,'05_贷后表现'!$A$5:$J$137,6,FALSE),"")</x:f>
        <x:v>N</x:v>
      </x:c>
      <x:c r="Q167" s="42" t="str">
        <x:f>IFERROR(VLOOKUP($A167,'05_贷后表现'!$A$5:$J$137,7,FALSE),"")</x:f>
        <x:v>N</x:v>
      </x:c>
      <x:c r="R167" s="45" t="n">
        <x:f>IFERROR(VLOOKUP($A167,'05_贷后表现'!$A$5:$J$137,8,FALSE),"")</x:f>
        <x:v>11</x:v>
      </x:c>
      <x:c r="S167" s="35" t="str">
        <x:f>IF(F167&lt;500,"REJECT",IF(OR(I167&gt;=2,J167&gt;60),"REJECT",IF(F167&lt;560,"REVIEW",IF(G167="","REVIEW",IF(AND(L167&lt;&gt;"Y",G167&gt;0.7),"REVIEW","PASS")))))</x:f>
        <x:v>REVIEW</x:v>
      </x:c>
      <x:c r="T167" s="35" t="str">
        <x:f>M167&amp;"→"&amp;S167</x:f>
        <x:v>PASS→REVIEW</x:v>
      </x:c>
    </x:row>
    <x:row r="168">
      <x:c r="A168" s="42" t="str">
        <x:v>APP2025000164</x:v>
      </x:c>
      <x:c r="B168" s="43" t="n">
        <x:f>VLOOKUP($A168,'01_申请数据'!$A$5:$L$204,3,FALSE)</x:f>
        <x:v>45709.44375</x:v>
      </x:c>
      <x:c r="C168" s="44" t="n">
        <x:f>VLOOKUP($A168,'01_申请数据'!$A$5:$L$204,5,FALSE)</x:f>
        <x:v>81000</x:v>
      </x:c>
      <x:c r="D168" s="45" t="n">
        <x:f>VLOOKUP($A168,'01_申请数据'!$A$5:$L$204,6,FALSE)</x:f>
        <x:v>12</x:v>
      </x:c>
      <x:c r="E168" s="44" t="n">
        <x:f>VLOOKUP($A168,'01_申请数据'!$A$5:$L$204,10,FALSE)</x:f>
        <x:v>16100</x:v>
      </x:c>
      <x:c r="F168" s="45" t="n">
        <x:f>VLOOKUP($A168,'02_征信特征'!$A$5:$J$204,3,FALSE)</x:f>
        <x:v>603</x:v>
      </x:c>
      <x:c r="G168" s="46" t="n">
        <x:f>VLOOKUP($A168,'02_征信特征'!$A$5:$J$204,4,FALSE)</x:f>
        <x:v>0.638</x:v>
      </x:c>
      <x:c r="H168" s="45" t="n">
        <x:f>VLOOKUP($A168,'02_征信特征'!$A$5:$J$204,5,FALSE)</x:f>
        <x:v>5</x:v>
      </x:c>
      <x:c r="I168" s="45" t="n">
        <x:f>VLOOKUP($A168,'02_征信特征'!$A$5:$J$204,6,FALSE)</x:f>
        <x:v>0</x:v>
      </x:c>
      <x:c r="J168" s="45" t="n">
        <x:f>VLOOKUP($A168,'02_征信特征'!$A$5:$J$204,7,FALSE)</x:f>
        <x:v>0</x:v>
      </x:c>
      <x:c r="K168" s="45" t="n">
        <x:f>VLOOKUP($A168,'02_征信特征'!$A$5:$J$204,8,FALSE)</x:f>
        <x:v>3</x:v>
      </x:c>
      <x:c r="L168" s="42" t="str">
        <x:f>VLOOKUP($A168,'02_征信特征'!$A$5:$J$204,9,FALSE)</x:f>
        <x:v>N</x:v>
      </x:c>
      <x:c r="M168" s="42" t="str">
        <x:f>VLOOKUP($A168,'03_决策日志'!$A$5:$G$204,4,FALSE)</x:f>
        <x:v>PASS</x:v>
      </x:c>
      <x:c r="N168" s="42" t="str">
        <x:f>IFERROR(VLOOKUP($A168,'04_人工审核'!$A$5:$H$57,6,FALSE),"NOT_REQUIRED")</x:f>
        <x:v>NOT_REQUIRED</x:v>
      </x:c>
      <x:c r="O168" s="42" t="str">
        <x:f>IFERROR(VLOOKUP($A168,'05_贷后表现'!$A$5:$J$137,2,FALSE),"N")</x:f>
        <x:v>N</x:v>
      </x:c>
      <x:c r="P168" s="42" t="str">
        <x:f>IFERROR(VLOOKUP($A168,'05_贷后表现'!$A$5:$J$137,6,FALSE),"")</x:f>
      </x:c>
      <x:c r="Q168" s="42" t="str">
        <x:f>IFERROR(VLOOKUP($A168,'05_贷后表现'!$A$5:$J$137,7,FALSE),"")</x:f>
      </x:c>
      <x:c r="R168" s="45" t="str">
        <x:f>IFERROR(VLOOKUP($A168,'05_贷后表现'!$A$5:$J$137,8,FALSE),"")</x:f>
      </x:c>
      <x:c r="S168" s="35" t="str">
        <x:f>IF(F168&lt;500,"REJECT",IF(OR(I168&gt;=2,J168&gt;60),"REJECT",IF(F168&lt;560,"REVIEW",IF(G168="","REVIEW",IF(AND(L168&lt;&gt;"Y",G168&gt;0.7),"REVIEW","PASS")))))</x:f>
        <x:v>PASS</x:v>
      </x:c>
      <x:c r="T168" s="35" t="str">
        <x:f>M168&amp;"→"&amp;S168</x:f>
        <x:v>PASS→PASS</x:v>
      </x:c>
    </x:row>
    <x:row r="169">
      <x:c r="A169" s="42" t="str">
        <x:v>APP2025000165</x:v>
      </x:c>
      <x:c r="B169" s="43" t="n">
        <x:f>VLOOKUP($A169,'01_申请数据'!$A$5:$L$204,3,FALSE)</x:f>
        <x:v>45836.55763888889</x:v>
      </x:c>
      <x:c r="C169" s="44" t="n">
        <x:f>VLOOKUP($A169,'01_申请数据'!$A$5:$L$204,5,FALSE)</x:f>
        <x:v>33000</x:v>
      </x:c>
      <x:c r="D169" s="45" t="n">
        <x:f>VLOOKUP($A169,'01_申请数据'!$A$5:$L$204,6,FALSE)</x:f>
        <x:v>12</x:v>
      </x:c>
      <x:c r="E169" s="44" t="n">
        <x:f>VLOOKUP($A169,'01_申请数据'!$A$5:$L$204,10,FALSE)</x:f>
        <x:v>23400</x:v>
      </x:c>
      <x:c r="F169" s="45" t="n">
        <x:f>VLOOKUP($A169,'02_征信特征'!$A$5:$J$204,3,FALSE)</x:f>
        <x:v>615</x:v>
      </x:c>
      <x:c r="G169" s="46" t="n">
        <x:f>VLOOKUP($A169,'02_征信特征'!$A$5:$J$204,4,FALSE)</x:f>
        <x:v>0.644</x:v>
      </x:c>
      <x:c r="H169" s="45" t="n">
        <x:f>VLOOKUP($A169,'02_征信特征'!$A$5:$J$204,5,FALSE)</x:f>
        <x:v>4</x:v>
      </x:c>
      <x:c r="I169" s="45" t="n">
        <x:f>VLOOKUP($A169,'02_征信特征'!$A$5:$J$204,6,FALSE)</x:f>
        <x:v>1</x:v>
      </x:c>
      <x:c r="J169" s="45" t="n">
        <x:f>VLOOKUP($A169,'02_征信特征'!$A$5:$J$204,7,FALSE)</x:f>
        <x:v>33</x:v>
      </x:c>
      <x:c r="K169" s="45" t="n">
        <x:f>VLOOKUP($A169,'02_征信特征'!$A$5:$J$204,8,FALSE)</x:f>
        <x:v>4</x:v>
      </x:c>
      <x:c r="L169" s="42" t="str">
        <x:f>VLOOKUP($A169,'02_征信特征'!$A$5:$J$204,9,FALSE)</x:f>
        <x:v>N</x:v>
      </x:c>
      <x:c r="M169" s="42" t="str">
        <x:f>VLOOKUP($A169,'03_决策日志'!$A$5:$G$204,4,FALSE)</x:f>
        <x:v>PASS</x:v>
      </x:c>
      <x:c r="N169" s="42" t="str">
        <x:f>IFERROR(VLOOKUP($A169,'04_人工审核'!$A$5:$H$57,6,FALSE),"NOT_REQUIRED")</x:f>
        <x:v>NOT_REQUIRED</x:v>
      </x:c>
      <x:c r="O169" s="42" t="str">
        <x:f>IFERROR(VLOOKUP($A169,'05_贷后表现'!$A$5:$J$137,2,FALSE),"N")</x:f>
        <x:v>Y</x:v>
      </x:c>
      <x:c r="P169" s="42" t="str">
        <x:f>IFERROR(VLOOKUP($A169,'05_贷后表现'!$A$5:$J$137,6,FALSE),"")</x:f>
        <x:v>N</x:v>
      </x:c>
      <x:c r="Q169" s="42" t="str">
        <x:f>IFERROR(VLOOKUP($A169,'05_贷后表现'!$A$5:$J$137,7,FALSE),"")</x:f>
        <x:v>N</x:v>
      </x:c>
      <x:c r="R169" s="45" t="n">
        <x:f>IFERROR(VLOOKUP($A169,'05_贷后表现'!$A$5:$J$137,8,FALSE),"")</x:f>
        <x:v>6</x:v>
      </x:c>
      <x:c r="S169" s="35" t="str">
        <x:f>IF(F169&lt;500,"REJECT",IF(OR(I169&gt;=2,J169&gt;60),"REJECT",IF(F169&lt;560,"REVIEW",IF(G169="","REVIEW",IF(AND(L169&lt;&gt;"Y",G169&gt;0.7),"REVIEW","PASS")))))</x:f>
        <x:v>PASS</x:v>
      </x:c>
      <x:c r="T169" s="35" t="str">
        <x:f>M169&amp;"→"&amp;S169</x:f>
        <x:v>PASS→PASS</x:v>
      </x:c>
    </x:row>
    <x:row r="170">
      <x:c r="A170" s="42" t="str">
        <x:v>APP2025000166</x:v>
      </x:c>
      <x:c r="B170" s="43" t="n">
        <x:f>VLOOKUP($A170,'01_申请数据'!$A$5:$L$204,3,FALSE)</x:f>
        <x:v>45712.65416666667</x:v>
      </x:c>
      <x:c r="C170" s="44" t="n">
        <x:f>VLOOKUP($A170,'01_申请数据'!$A$5:$L$204,5,FALSE)</x:f>
        <x:v>83000</x:v>
      </x:c>
      <x:c r="D170" s="45" t="n">
        <x:f>VLOOKUP($A170,'01_申请数据'!$A$5:$L$204,6,FALSE)</x:f>
        <x:v>6</x:v>
      </x:c>
      <x:c r="E170" s="44" t="n">
        <x:f>VLOOKUP($A170,'01_申请数据'!$A$5:$L$204,10,FALSE)</x:f>
        <x:v>18300</x:v>
      </x:c>
      <x:c r="F170" s="45" t="n">
        <x:f>VLOOKUP($A170,'02_征信特征'!$A$5:$J$204,3,FALSE)</x:f>
        <x:v>613</x:v>
      </x:c>
      <x:c r="G170" s="46" t="n">
        <x:f>VLOOKUP($A170,'02_征信特征'!$A$5:$J$204,4,FALSE)</x:f>
        <x:v>0.644</x:v>
      </x:c>
      <x:c r="H170" s="45" t="n">
        <x:f>VLOOKUP($A170,'02_征信特征'!$A$5:$J$204,5,FALSE)</x:f>
        <x:v>1</x:v>
      </x:c>
      <x:c r="I170" s="45" t="n">
        <x:f>VLOOKUP($A170,'02_征信特征'!$A$5:$J$204,6,FALSE)</x:f>
        <x:v>0</x:v>
      </x:c>
      <x:c r="J170" s="45" t="n">
        <x:f>VLOOKUP($A170,'02_征信特征'!$A$5:$J$204,7,FALSE)</x:f>
        <x:v>0</x:v>
      </x:c>
      <x:c r="K170" s="45" t="n">
        <x:f>VLOOKUP($A170,'02_征信特征'!$A$5:$J$204,8,FALSE)</x:f>
        <x:v>3</x:v>
      </x:c>
      <x:c r="L170" s="42" t="str">
        <x:f>VLOOKUP($A170,'02_征信特征'!$A$5:$J$204,9,FALSE)</x:f>
        <x:v>N</x:v>
      </x:c>
      <x:c r="M170" s="42" t="str">
        <x:f>VLOOKUP($A170,'03_决策日志'!$A$5:$G$204,4,FALSE)</x:f>
        <x:v>PASS</x:v>
      </x:c>
      <x:c r="N170" s="42" t="str">
        <x:f>IFERROR(VLOOKUP($A170,'04_人工审核'!$A$5:$H$57,6,FALSE),"NOT_REQUIRED")</x:f>
        <x:v>NOT_REQUIRED</x:v>
      </x:c>
      <x:c r="O170" s="42" t="str">
        <x:f>IFERROR(VLOOKUP($A170,'05_贷后表现'!$A$5:$J$137,2,FALSE),"N")</x:f>
        <x:v>Y</x:v>
      </x:c>
      <x:c r="P170" s="42" t="str">
        <x:f>IFERROR(VLOOKUP($A170,'05_贷后表现'!$A$5:$J$137,6,FALSE),"")</x:f>
        <x:v>N</x:v>
      </x:c>
      <x:c r="Q170" s="42" t="str">
        <x:f>IFERROR(VLOOKUP($A170,'05_贷后表现'!$A$5:$J$137,7,FALSE),"")</x:f>
        <x:v>N</x:v>
      </x:c>
      <x:c r="R170" s="45" t="n">
        <x:f>IFERROR(VLOOKUP($A170,'05_贷后表现'!$A$5:$J$137,8,FALSE),"")</x:f>
        <x:v>11</x:v>
      </x:c>
      <x:c r="S170" s="35" t="str">
        <x:f>IF(F170&lt;500,"REJECT",IF(OR(I170&gt;=2,J170&gt;60),"REJECT",IF(F170&lt;560,"REVIEW",IF(G170="","REVIEW",IF(AND(L170&lt;&gt;"Y",G170&gt;0.7),"REVIEW","PASS")))))</x:f>
        <x:v>PASS</x:v>
      </x:c>
      <x:c r="T170" s="35" t="str">
        <x:f>M170&amp;"→"&amp;S170</x:f>
        <x:v>PASS→PASS</x:v>
      </x:c>
    </x:row>
    <x:row r="171">
      <x:c r="A171" s="42" t="str">
        <x:v>APP2025000167</x:v>
      </x:c>
      <x:c r="B171" s="43" t="n">
        <x:f>VLOOKUP($A171,'01_申请数据'!$A$5:$L$204,3,FALSE)</x:f>
        <x:v>45824.60833333333</x:v>
      </x:c>
      <x:c r="C171" s="44" t="n">
        <x:f>VLOOKUP($A171,'01_申请数据'!$A$5:$L$204,5,FALSE)</x:f>
        <x:v>18000</x:v>
      </x:c>
      <x:c r="D171" s="45" t="n">
        <x:f>VLOOKUP($A171,'01_申请数据'!$A$5:$L$204,6,FALSE)</x:f>
        <x:v>12</x:v>
      </x:c>
      <x:c r="E171" s="44" t="n">
        <x:f>VLOOKUP($A171,'01_申请数据'!$A$5:$L$204,10,FALSE)</x:f>
        <x:v>18400</x:v>
      </x:c>
      <x:c r="F171" s="45" t="n">
        <x:f>VLOOKUP($A171,'02_征信特征'!$A$5:$J$204,3,FALSE)</x:f>
        <x:v>615</x:v>
      </x:c>
      <x:c r="G171" s="46" t="n">
        <x:f>VLOOKUP($A171,'02_征信特征'!$A$5:$J$204,4,FALSE)</x:f>
        <x:v>0.651</x:v>
      </x:c>
      <x:c r="H171" s="45" t="n">
        <x:f>VLOOKUP($A171,'02_征信特征'!$A$5:$J$204,5,FALSE)</x:f>
        <x:v>0</x:v>
      </x:c>
      <x:c r="I171" s="45" t="n">
        <x:f>VLOOKUP($A171,'02_征信特征'!$A$5:$J$204,6,FALSE)</x:f>
        <x:v>0</x:v>
      </x:c>
      <x:c r="J171" s="45" t="n">
        <x:f>VLOOKUP($A171,'02_征信特征'!$A$5:$J$204,7,FALSE)</x:f>
        <x:v>0</x:v>
      </x:c>
      <x:c r="K171" s="45" t="n">
        <x:f>VLOOKUP($A171,'02_征信特征'!$A$5:$J$204,8,FALSE)</x:f>
        <x:v>3</x:v>
      </x:c>
      <x:c r="L171" s="42" t="str">
        <x:f>VLOOKUP($A171,'02_征信特征'!$A$5:$J$204,9,FALSE)</x:f>
        <x:v>N</x:v>
      </x:c>
      <x:c r="M171" s="42" t="str">
        <x:f>VLOOKUP($A171,'03_决策日志'!$A$5:$G$204,4,FALSE)</x:f>
        <x:v>PASS</x:v>
      </x:c>
      <x:c r="N171" s="42" t="str">
        <x:f>IFERROR(VLOOKUP($A171,'04_人工审核'!$A$5:$H$57,6,FALSE),"NOT_REQUIRED")</x:f>
        <x:v>NOT_REQUIRED</x:v>
      </x:c>
      <x:c r="O171" s="42" t="str">
        <x:f>IFERROR(VLOOKUP($A171,'05_贷后表现'!$A$5:$J$137,2,FALSE),"N")</x:f>
        <x:v>Y</x:v>
      </x:c>
      <x:c r="P171" s="42" t="str">
        <x:f>IFERROR(VLOOKUP($A171,'05_贷后表现'!$A$5:$J$137,6,FALSE),"")</x:f>
        <x:v>N</x:v>
      </x:c>
      <x:c r="Q171" s="42" t="str">
        <x:f>IFERROR(VLOOKUP($A171,'05_贷后表现'!$A$5:$J$137,7,FALSE),"")</x:f>
        <x:v>N</x:v>
      </x:c>
      <x:c r="R171" s="45" t="n">
        <x:f>IFERROR(VLOOKUP($A171,'05_贷后表现'!$A$5:$J$137,8,FALSE),"")</x:f>
        <x:v>8</x:v>
      </x:c>
      <x:c r="S171" s="35" t="str">
        <x:f>IF(F171&lt;500,"REJECT",IF(OR(I171&gt;=2,J171&gt;60),"REJECT",IF(F171&lt;560,"REVIEW",IF(G171="","REVIEW",IF(AND(L171&lt;&gt;"Y",G171&gt;0.7),"REVIEW","PASS")))))</x:f>
        <x:v>PASS</x:v>
      </x:c>
      <x:c r="T171" s="35" t="str">
        <x:f>M171&amp;"→"&amp;S171</x:f>
        <x:v>PASS→PASS</x:v>
      </x:c>
    </x:row>
    <x:row r="172">
      <x:c r="A172" s="42" t="str">
        <x:v>APP2025000168</x:v>
      </x:c>
      <x:c r="B172" s="43" t="n">
        <x:f>VLOOKUP($A172,'01_申请数据'!$A$5:$L$204,3,FALSE)</x:f>
        <x:v>45754.62222222222</x:v>
      </x:c>
      <x:c r="C172" s="44" t="n">
        <x:f>VLOOKUP($A172,'01_申请数据'!$A$5:$L$204,5,FALSE)</x:f>
        <x:v>41000</x:v>
      </x:c>
      <x:c r="D172" s="45" t="n">
        <x:f>VLOOKUP($A172,'01_申请数据'!$A$5:$L$204,6,FALSE)</x:f>
        <x:v>24</x:v>
      </x:c>
      <x:c r="E172" s="44" t="n">
        <x:f>VLOOKUP($A172,'01_申请数据'!$A$5:$L$204,10,FALSE)</x:f>
        <x:v>27100</x:v>
      </x:c>
      <x:c r="F172" s="45" t="n">
        <x:f>VLOOKUP($A172,'02_征信特征'!$A$5:$J$204,3,FALSE)</x:f>
        <x:v>504</x:v>
      </x:c>
      <x:c r="G172" s="46" t="n">
        <x:f>VLOOKUP($A172,'02_征信特征'!$A$5:$J$204,4,FALSE)</x:f>
        <x:v>0.279</x:v>
      </x:c>
      <x:c r="H172" s="45" t="n">
        <x:f>VLOOKUP($A172,'02_征信特征'!$A$5:$J$204,5,FALSE)</x:f>
        <x:v>1</x:v>
      </x:c>
      <x:c r="I172" s="45" t="n">
        <x:f>VLOOKUP($A172,'02_征信特征'!$A$5:$J$204,6,FALSE)</x:f>
        <x:v>5</x:v>
      </x:c>
      <x:c r="J172" s="45" t="n">
        <x:f>VLOOKUP($A172,'02_征信特征'!$A$5:$J$204,7,FALSE)</x:f>
        <x:v>123</x:v>
      </x:c>
      <x:c r="K172" s="45" t="n">
        <x:f>VLOOKUP($A172,'02_征信特征'!$A$5:$J$204,8,FALSE)</x:f>
        <x:v>3</x:v>
      </x:c>
      <x:c r="L172" s="42" t="str">
        <x:f>VLOOKUP($A172,'02_征信特征'!$A$5:$J$204,9,FALSE)</x:f>
        <x:v>Y</x:v>
      </x:c>
      <x:c r="M172" s="42" t="str">
        <x:f>VLOOKUP($A172,'03_决策日志'!$A$5:$G$204,4,FALSE)</x:f>
        <x:v>REJECT</x:v>
      </x:c>
      <x:c r="N172" s="42" t="str">
        <x:f>IFERROR(VLOOKUP($A172,'04_人工审核'!$A$5:$H$57,6,FALSE),"NOT_REQUIRED")</x:f>
        <x:v>NOT_REQUIRED</x:v>
      </x:c>
      <x:c r="O172" s="42" t="str">
        <x:f>IFERROR(VLOOKUP($A172,'05_贷后表现'!$A$5:$J$137,2,FALSE),"N")</x:f>
        <x:v>N</x:v>
      </x:c>
      <x:c r="P172" s="42" t="str">
        <x:f>IFERROR(VLOOKUP($A172,'05_贷后表现'!$A$5:$J$137,6,FALSE),"")</x:f>
      </x:c>
      <x:c r="Q172" s="42" t="str">
        <x:f>IFERROR(VLOOKUP($A172,'05_贷后表现'!$A$5:$J$137,7,FALSE),"")</x:f>
      </x:c>
      <x:c r="R172" s="45" t="str">
        <x:f>IFERROR(VLOOKUP($A172,'05_贷后表现'!$A$5:$J$137,8,FALSE),"")</x:f>
      </x:c>
      <x:c r="S172" s="35" t="str">
        <x:f>IF(F172&lt;500,"REJECT",IF(OR(I172&gt;=2,J172&gt;60),"REJECT",IF(F172&lt;560,"REVIEW",IF(G172="","REVIEW",IF(AND(L172&lt;&gt;"Y",G172&gt;0.7),"REVIEW","PASS")))))</x:f>
        <x:v>REJECT</x:v>
      </x:c>
      <x:c r="T172" s="35" t="str">
        <x:f>M172&amp;"→"&amp;S172</x:f>
        <x:v>REJECT→REJECT</x:v>
      </x:c>
    </x:row>
    <x:row r="173">
      <x:c r="A173" s="42" t="str">
        <x:v>APP2025000169</x:v>
      </x:c>
      <x:c r="B173" s="43" t="n">
        <x:f>VLOOKUP($A173,'01_申请数据'!$A$5:$L$204,3,FALSE)</x:f>
        <x:v>45758.711805555555</x:v>
      </x:c>
      <x:c r="C173" s="44" t="n">
        <x:f>VLOOKUP($A173,'01_申请数据'!$A$5:$L$204,5,FALSE)</x:f>
        <x:v>66000</x:v>
      </x:c>
      <x:c r="D173" s="45" t="n">
        <x:f>VLOOKUP($A173,'01_申请数据'!$A$5:$L$204,6,FALSE)</x:f>
        <x:v>24</x:v>
      </x:c>
      <x:c r="E173" s="44" t="n">
        <x:f>VLOOKUP($A173,'01_申请数据'!$A$5:$L$204,10,FALSE)</x:f>
        <x:v>15900</x:v>
      </x:c>
      <x:c r="F173" s="45" t="n">
        <x:f>VLOOKUP($A173,'02_征信特征'!$A$5:$J$204,3,FALSE)</x:f>
        <x:v>669</x:v>
      </x:c>
      <x:c r="G173" s="46" t="n">
        <x:f>VLOOKUP($A173,'02_征信特征'!$A$5:$J$204,4,FALSE)</x:f>
        <x:v>0.615</x:v>
      </x:c>
      <x:c r="H173" s="45" t="n">
        <x:f>VLOOKUP($A173,'02_征信特征'!$A$5:$J$204,5,FALSE)</x:f>
        <x:v>5</x:v>
      </x:c>
      <x:c r="I173" s="45" t="n">
        <x:f>VLOOKUP($A173,'02_征信特征'!$A$5:$J$204,6,FALSE)</x:f>
        <x:v>1</x:v>
      </x:c>
      <x:c r="J173" s="45" t="n">
        <x:f>VLOOKUP($A173,'02_征信特征'!$A$5:$J$204,7,FALSE)</x:f>
        <x:v>32</x:v>
      </x:c>
      <x:c r="K173" s="45" t="n">
        <x:f>VLOOKUP($A173,'02_征信特征'!$A$5:$J$204,8,FALSE)</x:f>
        <x:v>6</x:v>
      </x:c>
      <x:c r="L173" s="42" t="str">
        <x:f>VLOOKUP($A173,'02_征信特征'!$A$5:$J$204,9,FALSE)</x:f>
        <x:v>N</x:v>
      </x:c>
      <x:c r="M173" s="42" t="str">
        <x:f>VLOOKUP($A173,'03_决策日志'!$A$5:$G$204,4,FALSE)</x:f>
        <x:v>PASS</x:v>
      </x:c>
      <x:c r="N173" s="42" t="str">
        <x:f>IFERROR(VLOOKUP($A173,'04_人工审核'!$A$5:$H$57,6,FALSE),"NOT_REQUIRED")</x:f>
        <x:v>NOT_REQUIRED</x:v>
      </x:c>
      <x:c r="O173" s="42" t="str">
        <x:f>IFERROR(VLOOKUP($A173,'05_贷后表现'!$A$5:$J$137,2,FALSE),"N")</x:f>
        <x:v>N</x:v>
      </x:c>
      <x:c r="P173" s="42" t="str">
        <x:f>IFERROR(VLOOKUP($A173,'05_贷后表现'!$A$5:$J$137,6,FALSE),"")</x:f>
      </x:c>
      <x:c r="Q173" s="42" t="str">
        <x:f>IFERROR(VLOOKUP($A173,'05_贷后表现'!$A$5:$J$137,7,FALSE),"")</x:f>
      </x:c>
      <x:c r="R173" s="45" t="str">
        <x:f>IFERROR(VLOOKUP($A173,'05_贷后表现'!$A$5:$J$137,8,FALSE),"")</x:f>
      </x:c>
      <x:c r="S173" s="35" t="str">
        <x:f>IF(F173&lt;500,"REJECT",IF(OR(I173&gt;=2,J173&gt;60),"REJECT",IF(F173&lt;560,"REVIEW",IF(G173="","REVIEW",IF(AND(L173&lt;&gt;"Y",G173&gt;0.7),"REVIEW","PASS")))))</x:f>
        <x:v>PASS</x:v>
      </x:c>
      <x:c r="T173" s="35" t="str">
        <x:f>M173&amp;"→"&amp;S173</x:f>
        <x:v>PASS→PASS</x:v>
      </x:c>
    </x:row>
    <x:row r="174">
      <x:c r="A174" s="42" t="str">
        <x:v>APP2025000170</x:v>
      </x:c>
      <x:c r="B174" s="43" t="n">
        <x:f>VLOOKUP($A174,'01_申请数据'!$A$5:$L$204,3,FALSE)</x:f>
        <x:v>45718.51180555556</x:v>
      </x:c>
      <x:c r="C174" s="44" t="n">
        <x:f>VLOOKUP($A174,'01_申请数据'!$A$5:$L$204,5,FALSE)</x:f>
        <x:v>119000</x:v>
      </x:c>
      <x:c r="D174" s="45" t="n">
        <x:f>VLOOKUP($A174,'01_申请数据'!$A$5:$L$204,6,FALSE)</x:f>
        <x:v>6</x:v>
      </x:c>
      <x:c r="E174" s="44" t="n">
        <x:f>VLOOKUP($A174,'01_申请数据'!$A$5:$L$204,10,FALSE)</x:f>
        <x:v>21400</x:v>
      </x:c>
      <x:c r="F174" s="45" t="n">
        <x:f>VLOOKUP($A174,'02_征信特征'!$A$5:$J$204,3,FALSE)</x:f>
        <x:v>704</x:v>
      </x:c>
      <x:c r="G174" s="46" t="n">
        <x:f>VLOOKUP($A174,'02_征信特征'!$A$5:$J$204,4,FALSE)</x:f>
        <x:v>0.653</x:v>
      </x:c>
      <x:c r="H174" s="45" t="n">
        <x:f>VLOOKUP($A174,'02_征信特征'!$A$5:$J$204,5,FALSE)</x:f>
        <x:v>5</x:v>
      </x:c>
      <x:c r="I174" s="45" t="n">
        <x:f>VLOOKUP($A174,'02_征信特征'!$A$5:$J$204,6,FALSE)</x:f>
        <x:v>0</x:v>
      </x:c>
      <x:c r="J174" s="45" t="n">
        <x:f>VLOOKUP($A174,'02_征信特征'!$A$5:$J$204,7,FALSE)</x:f>
        <x:v>0</x:v>
      </x:c>
      <x:c r="K174" s="45" t="n">
        <x:f>VLOOKUP($A174,'02_征信特征'!$A$5:$J$204,8,FALSE)</x:f>
        <x:v>5</x:v>
      </x:c>
      <x:c r="L174" s="42" t="str">
        <x:f>VLOOKUP($A174,'02_征信特征'!$A$5:$J$204,9,FALSE)</x:f>
        <x:v>N</x:v>
      </x:c>
      <x:c r="M174" s="42" t="str">
        <x:f>VLOOKUP($A174,'03_决策日志'!$A$5:$G$204,4,FALSE)</x:f>
        <x:v>PASS</x:v>
      </x:c>
      <x:c r="N174" s="42" t="str">
        <x:f>IFERROR(VLOOKUP($A174,'04_人工审核'!$A$5:$H$57,6,FALSE),"NOT_REQUIRED")</x:f>
        <x:v>NOT_REQUIRED</x:v>
      </x:c>
      <x:c r="O174" s="42" t="str">
        <x:f>IFERROR(VLOOKUP($A174,'05_贷后表现'!$A$5:$J$137,2,FALSE),"N")</x:f>
        <x:v>Y</x:v>
      </x:c>
      <x:c r="P174" s="42" t="str">
        <x:f>IFERROR(VLOOKUP($A174,'05_贷后表现'!$A$5:$J$137,6,FALSE),"")</x:f>
        <x:v>N</x:v>
      </x:c>
      <x:c r="Q174" s="42" t="str">
        <x:f>IFERROR(VLOOKUP($A174,'05_贷后表现'!$A$5:$J$137,7,FALSE),"")</x:f>
        <x:v>N</x:v>
      </x:c>
      <x:c r="R174" s="45" t="n">
        <x:f>IFERROR(VLOOKUP($A174,'05_贷后表现'!$A$5:$J$137,8,FALSE),"")</x:f>
        <x:v>6</x:v>
      </x:c>
      <x:c r="S174" s="35" t="str">
        <x:f>IF(F174&lt;500,"REJECT",IF(OR(I174&gt;=2,J174&gt;60),"REJECT",IF(F174&lt;560,"REVIEW",IF(G174="","REVIEW",IF(AND(L174&lt;&gt;"Y",G174&gt;0.7),"REVIEW","PASS")))))</x:f>
        <x:v>PASS</x:v>
      </x:c>
      <x:c r="T174" s="35" t="str">
        <x:f>M174&amp;"→"&amp;S174</x:f>
        <x:v>PASS→PASS</x:v>
      </x:c>
    </x:row>
    <x:row r="175">
      <x:c r="A175" s="42" t="str">
        <x:v>APP2025000171</x:v>
      </x:c>
      <x:c r="B175" s="43" t="n">
        <x:f>VLOOKUP($A175,'01_申请数据'!$A$5:$L$204,3,FALSE)</x:f>
        <x:v>45688.45486111111</x:v>
      </x:c>
      <x:c r="C175" s="44" t="n">
        <x:f>VLOOKUP($A175,'01_申请数据'!$A$5:$L$204,5,FALSE)</x:f>
        <x:v>14000</x:v>
      </x:c>
      <x:c r="D175" s="45" t="n">
        <x:f>VLOOKUP($A175,'01_申请数据'!$A$5:$L$204,6,FALSE)</x:f>
        <x:v>18</x:v>
      </x:c>
      <x:c r="E175" s="44" t="n">
        <x:f>VLOOKUP($A175,'01_申请数据'!$A$5:$L$204,10,FALSE)</x:f>
        <x:v>21600</x:v>
      </x:c>
      <x:c r="F175" s="45" t="n">
        <x:f>VLOOKUP($A175,'02_征信特征'!$A$5:$J$204,3,FALSE)</x:f>
        <x:v>628</x:v>
      </x:c>
      <x:c r="G175" s="46" t="n">
        <x:f>VLOOKUP($A175,'02_征信特征'!$A$5:$J$204,4,FALSE)</x:f>
        <x:v>0.233</x:v>
      </x:c>
      <x:c r="H175" s="45" t="n">
        <x:f>VLOOKUP($A175,'02_征信特征'!$A$5:$J$204,5,FALSE)</x:f>
        <x:v>5</x:v>
      </x:c>
      <x:c r="I175" s="45" t="n">
        <x:f>VLOOKUP($A175,'02_征信特征'!$A$5:$J$204,6,FALSE)</x:f>
        <x:v>2</x:v>
      </x:c>
      <x:c r="J175" s="45" t="n">
        <x:f>VLOOKUP($A175,'02_征信特征'!$A$5:$J$204,7,FALSE)</x:f>
        <x:v>10</x:v>
      </x:c>
      <x:c r="K175" s="45" t="n">
        <x:f>VLOOKUP($A175,'02_征信特征'!$A$5:$J$204,8,FALSE)</x:f>
        <x:v>6</x:v>
      </x:c>
      <x:c r="L175" s="42" t="str">
        <x:f>VLOOKUP($A175,'02_征信特征'!$A$5:$J$204,9,FALSE)</x:f>
        <x:v>N</x:v>
      </x:c>
      <x:c r="M175" s="42" t="str">
        <x:f>VLOOKUP($A175,'03_决策日志'!$A$5:$G$204,4,FALSE)</x:f>
        <x:v>PASS</x:v>
      </x:c>
      <x:c r="N175" s="42" t="str">
        <x:f>IFERROR(VLOOKUP($A175,'04_人工审核'!$A$5:$H$57,6,FALSE),"NOT_REQUIRED")</x:f>
        <x:v>NOT_REQUIRED</x:v>
      </x:c>
      <x:c r="O175" s="42" t="str">
        <x:f>IFERROR(VLOOKUP($A175,'05_贷后表现'!$A$5:$J$137,2,FALSE),"N")</x:f>
        <x:v>N</x:v>
      </x:c>
      <x:c r="P175" s="42" t="str">
        <x:f>IFERROR(VLOOKUP($A175,'05_贷后表现'!$A$5:$J$137,6,FALSE),"")</x:f>
      </x:c>
      <x:c r="Q175" s="42" t="str">
        <x:f>IFERROR(VLOOKUP($A175,'05_贷后表现'!$A$5:$J$137,7,FALSE),"")</x:f>
      </x:c>
      <x:c r="R175" s="45" t="str">
        <x:f>IFERROR(VLOOKUP($A175,'05_贷后表现'!$A$5:$J$137,8,FALSE),"")</x:f>
      </x:c>
      <x:c r="S175" s="35" t="str">
        <x:f>IF(F175&lt;500,"REJECT",IF(OR(I175&gt;=2,J175&gt;60),"REJECT",IF(F175&lt;560,"REVIEW",IF(G175="","REVIEW",IF(AND(L175&lt;&gt;"Y",G175&gt;0.7),"REVIEW","PASS")))))</x:f>
        <x:v>REJECT</x:v>
      </x:c>
      <x:c r="T175" s="35" t="str">
        <x:f>M175&amp;"→"&amp;S175</x:f>
        <x:v>PASS→REJECT</x:v>
      </x:c>
    </x:row>
    <x:row r="176">
      <x:c r="A176" s="42" t="str">
        <x:v>APP2025000172</x:v>
      </x:c>
      <x:c r="B176" s="43" t="n">
        <x:f>VLOOKUP($A176,'01_申请数据'!$A$5:$L$204,3,FALSE)</x:f>
        <x:v>45737.427083333336</x:v>
      </x:c>
      <x:c r="C176" s="44" t="n">
        <x:f>VLOOKUP($A176,'01_申请数据'!$A$5:$L$204,5,FALSE)</x:f>
        <x:v>126000</x:v>
      </x:c>
      <x:c r="D176" s="45" t="n">
        <x:f>VLOOKUP($A176,'01_申请数据'!$A$5:$L$204,6,FALSE)</x:f>
        <x:v>36</x:v>
      </x:c>
      <x:c r="E176" s="44" t="n">
        <x:f>VLOOKUP($A176,'01_申请数据'!$A$5:$L$204,10,FALSE)</x:f>
        <x:v>29400</x:v>
      </x:c>
      <x:c r="F176" s="45" t="n">
        <x:f>VLOOKUP($A176,'02_征信特征'!$A$5:$J$204,3,FALSE)</x:f>
        <x:v>598</x:v>
      </x:c>
      <x:c r="G176" s="46" t="n">
        <x:f>VLOOKUP($A176,'02_征信特征'!$A$5:$J$204,4,FALSE)</x:f>
        <x:v>0.851</x:v>
      </x:c>
      <x:c r="H176" s="45" t="n">
        <x:f>VLOOKUP($A176,'02_征信特征'!$A$5:$J$204,5,FALSE)</x:f>
        <x:v>1</x:v>
      </x:c>
      <x:c r="I176" s="45" t="n">
        <x:f>VLOOKUP($A176,'02_征信特征'!$A$5:$J$204,6,FALSE)</x:f>
        <x:v>2</x:v>
      </x:c>
      <x:c r="J176" s="45" t="n">
        <x:f>VLOOKUP($A176,'02_征信特征'!$A$5:$J$204,7,FALSE)</x:f>
        <x:v>50</x:v>
      </x:c>
      <x:c r="K176" s="45" t="n">
        <x:f>VLOOKUP($A176,'02_征信特征'!$A$5:$J$204,8,FALSE)</x:f>
        <x:v>5</x:v>
      </x:c>
      <x:c r="L176" s="42" t="str">
        <x:f>VLOOKUP($A176,'02_征信特征'!$A$5:$J$204,9,FALSE)</x:f>
        <x:v>N</x:v>
      </x:c>
      <x:c r="M176" s="42" t="str">
        <x:f>VLOOKUP($A176,'03_决策日志'!$A$5:$G$204,4,FALSE)</x:f>
        <x:v>REVIEW</x:v>
      </x:c>
      <x:c r="N176" s="42" t="str">
        <x:f>IFERROR(VLOOKUP($A176,'04_人工审核'!$A$5:$H$57,6,FALSE),"NOT_REQUIRED")</x:f>
        <x:v>APPROVE</x:v>
      </x:c>
      <x:c r="O176" s="42" t="str">
        <x:f>IFERROR(VLOOKUP($A176,'05_贷后表现'!$A$5:$J$137,2,FALSE),"N")</x:f>
        <x:v>Y</x:v>
      </x:c>
      <x:c r="P176" s="42" t="str">
        <x:f>IFERROR(VLOOKUP($A176,'05_贷后表现'!$A$5:$J$137,6,FALSE),"")</x:f>
        <x:v>N</x:v>
      </x:c>
      <x:c r="Q176" s="42" t="str">
        <x:f>IFERROR(VLOOKUP($A176,'05_贷后表现'!$A$5:$J$137,7,FALSE),"")</x:f>
        <x:v>N</x:v>
      </x:c>
      <x:c r="R176" s="45" t="n">
        <x:f>IFERROR(VLOOKUP($A176,'05_贷后表现'!$A$5:$J$137,8,FALSE),"")</x:f>
        <x:v>6</x:v>
      </x:c>
      <x:c r="S176" s="35" t="str">
        <x:f>IF(F176&lt;500,"REJECT",IF(OR(I176&gt;=2,J176&gt;60),"REJECT",IF(F176&lt;560,"REVIEW",IF(G176="","REVIEW",IF(AND(L176&lt;&gt;"Y",G176&gt;0.7),"REVIEW","PASS")))))</x:f>
        <x:v>REJECT</x:v>
      </x:c>
      <x:c r="T176" s="35" t="str">
        <x:f>M176&amp;"→"&amp;S176</x:f>
        <x:v>REVIEW→REJECT</x:v>
      </x:c>
    </x:row>
    <x:row r="177">
      <x:c r="A177" s="42" t="str">
        <x:v>APP2025000173</x:v>
      </x:c>
      <x:c r="B177" s="43" t="n">
        <x:f>VLOOKUP($A177,'01_申请数据'!$A$5:$L$204,3,FALSE)</x:f>
        <x:v>45744.36319444444</x:v>
      </x:c>
      <x:c r="C177" s="44" t="n">
        <x:f>VLOOKUP($A177,'01_申请数据'!$A$5:$L$204,5,FALSE)</x:f>
        <x:v>126000</x:v>
      </x:c>
      <x:c r="D177" s="45" t="n">
        <x:f>VLOOKUP($A177,'01_申请数据'!$A$5:$L$204,6,FALSE)</x:f>
        <x:v>6</x:v>
      </x:c>
      <x:c r="E177" s="44" t="n">
        <x:f>VLOOKUP($A177,'01_申请数据'!$A$5:$L$204,10,FALSE)</x:f>
        <x:v>9200</x:v>
      </x:c>
      <x:c r="F177" s="45" t="n">
        <x:f>VLOOKUP($A177,'02_征信特征'!$A$5:$J$204,3,FALSE)</x:f>
        <x:v>497</x:v>
      </x:c>
      <x:c r="G177" s="46" t="n">
        <x:f>VLOOKUP($A177,'02_征信特征'!$A$5:$J$204,4,FALSE)</x:f>
        <x:v>0.377</x:v>
      </x:c>
      <x:c r="H177" s="45" t="n">
        <x:f>VLOOKUP($A177,'02_征信特征'!$A$5:$J$204,5,FALSE)</x:f>
        <x:v>5</x:v>
      </x:c>
      <x:c r="I177" s="45" t="n">
        <x:f>VLOOKUP($A177,'02_征信特征'!$A$5:$J$204,6,FALSE)</x:f>
        <x:v>4</x:v>
      </x:c>
      <x:c r="J177" s="45" t="n">
        <x:f>VLOOKUP($A177,'02_征信特征'!$A$5:$J$204,7,FALSE)</x:f>
        <x:v>137</x:v>
      </x:c>
      <x:c r="K177" s="45" t="n">
        <x:f>VLOOKUP($A177,'02_征信特征'!$A$5:$J$204,8,FALSE)</x:f>
        <x:v>4</x:v>
      </x:c>
      <x:c r="L177" s="42" t="str">
        <x:f>VLOOKUP($A177,'02_征信特征'!$A$5:$J$204,9,FALSE)</x:f>
        <x:v>N</x:v>
      </x:c>
      <x:c r="M177" s="42" t="str">
        <x:f>VLOOKUP($A177,'03_决策日志'!$A$5:$G$204,4,FALSE)</x:f>
        <x:v>REJECT</x:v>
      </x:c>
      <x:c r="N177" s="42" t="str">
        <x:f>IFERROR(VLOOKUP($A177,'04_人工审核'!$A$5:$H$57,6,FALSE),"NOT_REQUIRED")</x:f>
        <x:v>NOT_REQUIRED</x:v>
      </x:c>
      <x:c r="O177" s="42" t="str">
        <x:f>IFERROR(VLOOKUP($A177,'05_贷后表现'!$A$5:$J$137,2,FALSE),"N")</x:f>
        <x:v>N</x:v>
      </x:c>
      <x:c r="P177" s="42" t="str">
        <x:f>IFERROR(VLOOKUP($A177,'05_贷后表现'!$A$5:$J$137,6,FALSE),"")</x:f>
      </x:c>
      <x:c r="Q177" s="42" t="str">
        <x:f>IFERROR(VLOOKUP($A177,'05_贷后表现'!$A$5:$J$137,7,FALSE),"")</x:f>
      </x:c>
      <x:c r="R177" s="45" t="str">
        <x:f>IFERROR(VLOOKUP($A177,'05_贷后表现'!$A$5:$J$137,8,FALSE),"")</x:f>
      </x:c>
      <x:c r="S177" s="35" t="str">
        <x:f>IF(F177&lt;500,"REJECT",IF(OR(I177&gt;=2,J177&gt;60),"REJECT",IF(F177&lt;560,"REVIEW",IF(G177="","REVIEW",IF(AND(L177&lt;&gt;"Y",G177&gt;0.7),"REVIEW","PASS")))))</x:f>
        <x:v>REJECT</x:v>
      </x:c>
      <x:c r="T177" s="35" t="str">
        <x:f>M177&amp;"→"&amp;S177</x:f>
        <x:v>REJECT→REJECT</x:v>
      </x:c>
    </x:row>
    <x:row r="178">
      <x:c r="A178" s="42" t="str">
        <x:v>APP2025000174</x:v>
      </x:c>
      <x:c r="B178" s="43" t="n">
        <x:f>VLOOKUP($A178,'01_申请数据'!$A$5:$L$204,3,FALSE)</x:f>
        <x:v>45679.629166666666</x:v>
      </x:c>
      <x:c r="C178" s="44" t="n">
        <x:f>VLOOKUP($A178,'01_申请数据'!$A$5:$L$204,5,FALSE)</x:f>
        <x:v>43000</x:v>
      </x:c>
      <x:c r="D178" s="45" t="n">
        <x:f>VLOOKUP($A178,'01_申请数据'!$A$5:$L$204,6,FALSE)</x:f>
        <x:v>18</x:v>
      </x:c>
      <x:c r="E178" s="44" t="n">
        <x:f>VLOOKUP($A178,'01_申请数据'!$A$5:$L$204,10,FALSE)</x:f>
        <x:v>17300</x:v>
      </x:c>
      <x:c r="F178" s="45" t="n">
        <x:f>VLOOKUP($A178,'02_征信特征'!$A$5:$J$204,3,FALSE)</x:f>
        <x:v>681</x:v>
      </x:c>
      <x:c r="G178" s="46" t="n">
        <x:f>VLOOKUP($A178,'02_征信特征'!$A$5:$J$204,4,FALSE)</x:f>
        <x:v>0.961</x:v>
      </x:c>
      <x:c r="H178" s="45" t="n">
        <x:f>VLOOKUP($A178,'02_征信特征'!$A$5:$J$204,5,FALSE)</x:f>
        <x:v>2</x:v>
      </x:c>
      <x:c r="I178" s="45" t="n">
        <x:f>VLOOKUP($A178,'02_征信特征'!$A$5:$J$204,6,FALSE)</x:f>
        <x:v>0</x:v>
      </x:c>
      <x:c r="J178" s="45" t="n">
        <x:f>VLOOKUP($A178,'02_征信特征'!$A$5:$J$204,7,FALSE)</x:f>
        <x:v>0</x:v>
      </x:c>
      <x:c r="K178" s="45" t="n">
        <x:f>VLOOKUP($A178,'02_征信特征'!$A$5:$J$204,8,FALSE)</x:f>
        <x:v>5</x:v>
      </x:c>
      <x:c r="L178" s="42" t="str">
        <x:f>VLOOKUP($A178,'02_征信特征'!$A$5:$J$204,9,FALSE)</x:f>
        <x:v>N</x:v>
      </x:c>
      <x:c r="M178" s="42" t="str">
        <x:f>VLOOKUP($A178,'03_决策日志'!$A$5:$G$204,4,FALSE)</x:f>
        <x:v>REVIEW</x:v>
      </x:c>
      <x:c r="N178" s="42" t="str">
        <x:f>IFERROR(VLOOKUP($A178,'04_人工审核'!$A$5:$H$57,6,FALSE),"NOT_REQUIRED")</x:f>
        <x:v>DECLINE</x:v>
      </x:c>
      <x:c r="O178" s="42" t="str">
        <x:f>IFERROR(VLOOKUP($A178,'05_贷后表现'!$A$5:$J$137,2,FALSE),"N")</x:f>
        <x:v>N</x:v>
      </x:c>
      <x:c r="P178" s="42" t="str">
        <x:f>IFERROR(VLOOKUP($A178,'05_贷后表现'!$A$5:$J$137,6,FALSE),"")</x:f>
      </x:c>
      <x:c r="Q178" s="42" t="str">
        <x:f>IFERROR(VLOOKUP($A178,'05_贷后表现'!$A$5:$J$137,7,FALSE),"")</x:f>
      </x:c>
      <x:c r="R178" s="45" t="str">
        <x:f>IFERROR(VLOOKUP($A178,'05_贷后表现'!$A$5:$J$137,8,FALSE),"")</x:f>
      </x:c>
      <x:c r="S178" s="35" t="str">
        <x:f>IF(F178&lt;500,"REJECT",IF(OR(I178&gt;=2,J178&gt;60),"REJECT",IF(F178&lt;560,"REVIEW",IF(G178="","REVIEW",IF(AND(L178&lt;&gt;"Y",G178&gt;0.7),"REVIEW","PASS")))))</x:f>
        <x:v>REVIEW</x:v>
      </x:c>
      <x:c r="T178" s="35" t="str">
        <x:f>M178&amp;"→"&amp;S178</x:f>
        <x:v>REVIEW→REVIEW</x:v>
      </x:c>
    </x:row>
    <x:row r="179">
      <x:c r="A179" s="42" t="str">
        <x:v>APP2025000175</x:v>
      </x:c>
      <x:c r="B179" s="43" t="n">
        <x:f>VLOOKUP($A179,'01_申请数据'!$A$5:$L$204,3,FALSE)</x:f>
        <x:v>45754.52847222222</x:v>
      </x:c>
      <x:c r="C179" s="44" t="n">
        <x:f>VLOOKUP($A179,'01_申请数据'!$A$5:$L$204,5,FALSE)</x:f>
        <x:v>14000</x:v>
      </x:c>
      <x:c r="D179" s="45" t="n">
        <x:f>VLOOKUP($A179,'01_申请数据'!$A$5:$L$204,6,FALSE)</x:f>
        <x:v>12</x:v>
      </x:c>
      <x:c r="E179" s="44" t="n">
        <x:f>VLOOKUP($A179,'01_申请数据'!$A$5:$L$204,10,FALSE)</x:f>
        <x:v>5200</x:v>
      </x:c>
      <x:c r="F179" s="45" t="n">
        <x:f>VLOOKUP($A179,'02_征信特征'!$A$5:$J$204,3,FALSE)</x:f>
        <x:v>680</x:v>
      </x:c>
      <x:c r="G179" s="46" t="n">
        <x:f>VLOOKUP($A179,'02_征信特征'!$A$5:$J$204,4,FALSE)</x:f>
        <x:v>0.664</x:v>
      </x:c>
      <x:c r="H179" s="45" t="n">
        <x:f>VLOOKUP($A179,'02_征信特征'!$A$5:$J$204,5,FALSE)</x:f>
        <x:v>4</x:v>
      </x:c>
      <x:c r="I179" s="45" t="n">
        <x:f>VLOOKUP($A179,'02_征信特征'!$A$5:$J$204,6,FALSE)</x:f>
        <x:v>0</x:v>
      </x:c>
      <x:c r="J179" s="45" t="n">
        <x:f>VLOOKUP($A179,'02_征信特征'!$A$5:$J$204,7,FALSE)</x:f>
        <x:v>0</x:v>
      </x:c>
      <x:c r="K179" s="45" t="n">
        <x:f>VLOOKUP($A179,'02_征信特征'!$A$5:$J$204,8,FALSE)</x:f>
        <x:v>4</x:v>
      </x:c>
      <x:c r="L179" s="42" t="str">
        <x:f>VLOOKUP($A179,'02_征信特征'!$A$5:$J$204,9,FALSE)</x:f>
        <x:v>N</x:v>
      </x:c>
      <x:c r="M179" s="42" t="str">
        <x:f>VLOOKUP($A179,'03_决策日志'!$A$5:$G$204,4,FALSE)</x:f>
        <x:v>PASS</x:v>
      </x:c>
      <x:c r="N179" s="42" t="str">
        <x:f>IFERROR(VLOOKUP($A179,'04_人工审核'!$A$5:$H$57,6,FALSE),"NOT_REQUIRED")</x:f>
        <x:v>NOT_REQUIRED</x:v>
      </x:c>
      <x:c r="O179" s="42" t="str">
        <x:f>IFERROR(VLOOKUP($A179,'05_贷后表现'!$A$5:$J$137,2,FALSE),"N")</x:f>
        <x:v>Y</x:v>
      </x:c>
      <x:c r="P179" s="42" t="str">
        <x:f>IFERROR(VLOOKUP($A179,'05_贷后表现'!$A$5:$J$137,6,FALSE),"")</x:f>
        <x:v>N</x:v>
      </x:c>
      <x:c r="Q179" s="42" t="str">
        <x:f>IFERROR(VLOOKUP($A179,'05_贷后表现'!$A$5:$J$137,7,FALSE),"")</x:f>
        <x:v>N</x:v>
      </x:c>
      <x:c r="R179" s="45" t="n">
        <x:f>IFERROR(VLOOKUP($A179,'05_贷后表现'!$A$5:$J$137,8,FALSE),"")</x:f>
        <x:v>8</x:v>
      </x:c>
      <x:c r="S179" s="35" t="str">
        <x:f>IF(F179&lt;500,"REJECT",IF(OR(I179&gt;=2,J179&gt;60),"REJECT",IF(F179&lt;560,"REVIEW",IF(G179="","REVIEW",IF(AND(L179&lt;&gt;"Y",G179&gt;0.7),"REVIEW","PASS")))))</x:f>
        <x:v>PASS</x:v>
      </x:c>
      <x:c r="T179" s="35" t="str">
        <x:f>M179&amp;"→"&amp;S179</x:f>
        <x:v>PASS→PASS</x:v>
      </x:c>
    </x:row>
    <x:row r="180">
      <x:c r="A180" s="42" t="str">
        <x:v>APP2025000176</x:v>
      </x:c>
      <x:c r="B180" s="43" t="n">
        <x:f>VLOOKUP($A180,'01_申请数据'!$A$5:$L$204,3,FALSE)</x:f>
        <x:v>45745.60763888889</x:v>
      </x:c>
      <x:c r="C180" s="44" t="n">
        <x:f>VLOOKUP($A180,'01_申请数据'!$A$5:$L$204,5,FALSE)</x:f>
        <x:v>130000</x:v>
      </x:c>
      <x:c r="D180" s="45" t="n">
        <x:f>VLOOKUP($A180,'01_申请数据'!$A$5:$L$204,6,FALSE)</x:f>
        <x:v>36</x:v>
      </x:c>
      <x:c r="E180" s="44" t="n">
        <x:f>VLOOKUP($A180,'01_申请数据'!$A$5:$L$204,10,FALSE)</x:f>
        <x:v>21100</x:v>
      </x:c>
      <x:c r="F180" s="45" t="n">
        <x:f>VLOOKUP($A180,'02_征信特征'!$A$5:$J$204,3,FALSE)</x:f>
        <x:v>706</x:v>
      </x:c>
      <x:c r="G180" s="46" t="n">
        <x:f>VLOOKUP($A180,'02_征信特征'!$A$5:$J$204,4,FALSE)</x:f>
        <x:v>0.467</x:v>
      </x:c>
      <x:c r="H180" s="45" t="n">
        <x:f>VLOOKUP($A180,'02_征信特征'!$A$5:$J$204,5,FALSE)</x:f>
        <x:v>3</x:v>
      </x:c>
      <x:c r="I180" s="45" t="n">
        <x:f>VLOOKUP($A180,'02_征信特征'!$A$5:$J$204,6,FALSE)</x:f>
        <x:v>0</x:v>
      </x:c>
      <x:c r="J180" s="45" t="n">
        <x:f>VLOOKUP($A180,'02_征信特征'!$A$5:$J$204,7,FALSE)</x:f>
        <x:v>0</x:v>
      </x:c>
      <x:c r="K180" s="45" t="n">
        <x:f>VLOOKUP($A180,'02_征信特征'!$A$5:$J$204,8,FALSE)</x:f>
        <x:v>3</x:v>
      </x:c>
      <x:c r="L180" s="42" t="str">
        <x:f>VLOOKUP($A180,'02_征信特征'!$A$5:$J$204,9,FALSE)</x:f>
        <x:v>N</x:v>
      </x:c>
      <x:c r="M180" s="42" t="str">
        <x:f>VLOOKUP($A180,'03_决策日志'!$A$5:$G$204,4,FALSE)</x:f>
        <x:v>PASS</x:v>
      </x:c>
      <x:c r="N180" s="42" t="str">
        <x:f>IFERROR(VLOOKUP($A180,'04_人工审核'!$A$5:$H$57,6,FALSE),"NOT_REQUIRED")</x:f>
        <x:v>NOT_REQUIRED</x:v>
      </x:c>
      <x:c r="O180" s="42" t="str">
        <x:f>IFERROR(VLOOKUP($A180,'05_贷后表现'!$A$5:$J$137,2,FALSE),"N")</x:f>
        <x:v>Y</x:v>
      </x:c>
      <x:c r="P180" s="42" t="str">
        <x:f>IFERROR(VLOOKUP($A180,'05_贷后表现'!$A$5:$J$137,6,FALSE),"")</x:f>
        <x:v>N</x:v>
      </x:c>
      <x:c r="Q180" s="42" t="str">
        <x:f>IFERROR(VLOOKUP($A180,'05_贷后表现'!$A$5:$J$137,7,FALSE),"")</x:f>
        <x:v>N</x:v>
      </x:c>
      <x:c r="R180" s="45" t="n">
        <x:f>IFERROR(VLOOKUP($A180,'05_贷后表现'!$A$5:$J$137,8,FALSE),"")</x:f>
        <x:v>6</x:v>
      </x:c>
      <x:c r="S180" s="35" t="str">
        <x:f>IF(F180&lt;500,"REJECT",IF(OR(I180&gt;=2,J180&gt;60),"REJECT",IF(F180&lt;560,"REVIEW",IF(G180="","REVIEW",IF(AND(L180&lt;&gt;"Y",G180&gt;0.7),"REVIEW","PASS")))))</x:f>
        <x:v>PASS</x:v>
      </x:c>
      <x:c r="T180" s="35" t="str">
        <x:f>M180&amp;"→"&amp;S180</x:f>
        <x:v>PASS→PASS</x:v>
      </x:c>
    </x:row>
    <x:row r="181">
      <x:c r="A181" s="42" t="str">
        <x:v>APP2025000177</x:v>
      </x:c>
      <x:c r="B181" s="43" t="n">
        <x:f>VLOOKUP($A181,'01_申请数据'!$A$5:$L$204,3,FALSE)</x:f>
        <x:v>45728.58541666667</x:v>
      </x:c>
      <x:c r="C181" s="44" t="n">
        <x:f>VLOOKUP($A181,'01_申请数据'!$A$5:$L$204,5,FALSE)</x:f>
        <x:v>99000</x:v>
      </x:c>
      <x:c r="D181" s="45" t="n">
        <x:f>VLOOKUP($A181,'01_申请数据'!$A$5:$L$204,6,FALSE)</x:f>
        <x:v>6</x:v>
      </x:c>
      <x:c r="E181" s="44" t="n">
        <x:f>VLOOKUP($A181,'01_申请数据'!$A$5:$L$204,10,FALSE)</x:f>
        <x:v>6200</x:v>
      </x:c>
      <x:c r="F181" s="45" t="n">
        <x:f>VLOOKUP($A181,'02_征信特征'!$A$5:$J$204,3,FALSE)</x:f>
        <x:v>491</x:v>
      </x:c>
      <x:c r="G181" s="46" t="n">
        <x:f>VLOOKUP($A181,'02_征信特征'!$A$5:$J$204,4,FALSE)</x:f>
        <x:v>0.981</x:v>
      </x:c>
      <x:c r="H181" s="45" t="n">
        <x:f>VLOOKUP($A181,'02_征信特征'!$A$5:$J$204,5,FALSE)</x:f>
        <x:v>1</x:v>
      </x:c>
      <x:c r="I181" s="45" t="n">
        <x:f>VLOOKUP($A181,'02_征信特征'!$A$5:$J$204,6,FALSE)</x:f>
        <x:v>5</x:v>
      </x:c>
      <x:c r="J181" s="45" t="n">
        <x:f>VLOOKUP($A181,'02_征信特征'!$A$5:$J$204,7,FALSE)</x:f>
        <x:v>48</x:v>
      </x:c>
      <x:c r="K181" s="45" t="n">
        <x:f>VLOOKUP($A181,'02_征信特征'!$A$5:$J$204,8,FALSE)</x:f>
        <x:v>11</x:v>
      </x:c>
      <x:c r="L181" s="42" t="str">
        <x:f>VLOOKUP($A181,'02_征信特征'!$A$5:$J$204,9,FALSE)</x:f>
        <x:v>N</x:v>
      </x:c>
      <x:c r="M181" s="42" t="str">
        <x:f>VLOOKUP($A181,'03_决策日志'!$A$5:$G$204,4,FALSE)</x:f>
        <x:v>REJECT</x:v>
      </x:c>
      <x:c r="N181" s="42" t="str">
        <x:f>IFERROR(VLOOKUP($A181,'04_人工审核'!$A$5:$H$57,6,FALSE),"NOT_REQUIRED")</x:f>
        <x:v>NOT_REQUIRED</x:v>
      </x:c>
      <x:c r="O181" s="42" t="str">
        <x:f>IFERROR(VLOOKUP($A181,'05_贷后表现'!$A$5:$J$137,2,FALSE),"N")</x:f>
        <x:v>N</x:v>
      </x:c>
      <x:c r="P181" s="42" t="str">
        <x:f>IFERROR(VLOOKUP($A181,'05_贷后表现'!$A$5:$J$137,6,FALSE),"")</x:f>
      </x:c>
      <x:c r="Q181" s="42" t="str">
        <x:f>IFERROR(VLOOKUP($A181,'05_贷后表现'!$A$5:$J$137,7,FALSE),"")</x:f>
      </x:c>
      <x:c r="R181" s="45" t="str">
        <x:f>IFERROR(VLOOKUP($A181,'05_贷后表现'!$A$5:$J$137,8,FALSE),"")</x:f>
      </x:c>
      <x:c r="S181" s="35" t="str">
        <x:f>IF(F181&lt;500,"REJECT",IF(OR(I181&gt;=2,J181&gt;60),"REJECT",IF(F181&lt;560,"REVIEW",IF(G181="","REVIEW",IF(AND(L181&lt;&gt;"Y",G181&gt;0.7),"REVIEW","PASS")))))</x:f>
        <x:v>REJECT</x:v>
      </x:c>
      <x:c r="T181" s="35" t="str">
        <x:f>M181&amp;"→"&amp;S181</x:f>
        <x:v>REJECT→REJECT</x:v>
      </x:c>
    </x:row>
    <x:row r="182">
      <x:c r="A182" s="42" t="str">
        <x:v>APP2025000178</x:v>
      </x:c>
      <x:c r="B182" s="43" t="n">
        <x:f>VLOOKUP($A182,'01_申请数据'!$A$5:$L$204,3,FALSE)</x:f>
        <x:v>45796.66527777778</x:v>
      </x:c>
      <x:c r="C182" s="44" t="n">
        <x:f>VLOOKUP($A182,'01_申请数据'!$A$5:$L$204,5,FALSE)</x:f>
        <x:v>101000</x:v>
      </x:c>
      <x:c r="D182" s="45" t="n">
        <x:f>VLOOKUP($A182,'01_申请数据'!$A$5:$L$204,6,FALSE)</x:f>
        <x:v>36</x:v>
      </x:c>
      <x:c r="E182" s="44" t="n">
        <x:f>VLOOKUP($A182,'01_申请数据'!$A$5:$L$204,10,FALSE)</x:f>
        <x:v>24400</x:v>
      </x:c>
      <x:c r="F182" s="45" t="n">
        <x:f>VLOOKUP($A182,'02_征信特征'!$A$5:$J$204,3,FALSE)</x:f>
        <x:v>597</x:v>
      </x:c>
      <x:c r="G182" s="46" t="n">
        <x:f>VLOOKUP($A182,'02_征信特征'!$A$5:$J$204,4,FALSE)</x:f>
        <x:v>0.938</x:v>
      </x:c>
      <x:c r="H182" s="45" t="n">
        <x:f>VLOOKUP($A182,'02_征信特征'!$A$5:$J$204,5,FALSE)</x:f>
        <x:v>5</x:v>
      </x:c>
      <x:c r="I182" s="45" t="n">
        <x:f>VLOOKUP($A182,'02_征信特征'!$A$5:$J$204,6,FALSE)</x:f>
        <x:v>1</x:v>
      </x:c>
      <x:c r="J182" s="45" t="n">
        <x:f>VLOOKUP($A182,'02_征信特征'!$A$5:$J$204,7,FALSE)</x:f>
        <x:v>6</x:v>
      </x:c>
      <x:c r="K182" s="45" t="n">
        <x:f>VLOOKUP($A182,'02_征信特征'!$A$5:$J$204,8,FALSE)</x:f>
        <x:v>1</x:v>
      </x:c>
      <x:c r="L182" s="42" t="str">
        <x:f>VLOOKUP($A182,'02_征信特征'!$A$5:$J$204,9,FALSE)</x:f>
        <x:v>Y</x:v>
      </x:c>
      <x:c r="M182" s="42" t="str">
        <x:f>VLOOKUP($A182,'03_决策日志'!$A$5:$G$204,4,FALSE)</x:f>
        <x:v>PASS</x:v>
      </x:c>
      <x:c r="N182" s="42" t="str">
        <x:f>IFERROR(VLOOKUP($A182,'04_人工审核'!$A$5:$H$57,6,FALSE),"NOT_REQUIRED")</x:f>
        <x:v>NOT_REQUIRED</x:v>
      </x:c>
      <x:c r="O182" s="42" t="str">
        <x:f>IFERROR(VLOOKUP($A182,'05_贷后表现'!$A$5:$J$137,2,FALSE),"N")</x:f>
        <x:v>N</x:v>
      </x:c>
      <x:c r="P182" s="42" t="str">
        <x:f>IFERROR(VLOOKUP($A182,'05_贷后表现'!$A$5:$J$137,6,FALSE),"")</x:f>
      </x:c>
      <x:c r="Q182" s="42" t="str">
        <x:f>IFERROR(VLOOKUP($A182,'05_贷后表现'!$A$5:$J$137,7,FALSE),"")</x:f>
      </x:c>
      <x:c r="R182" s="45" t="str">
        <x:f>IFERROR(VLOOKUP($A182,'05_贷后表现'!$A$5:$J$137,8,FALSE),"")</x:f>
      </x:c>
      <x:c r="S182" s="35" t="str">
        <x:f>IF(F182&lt;500,"REJECT",IF(OR(I182&gt;=2,J182&gt;60),"REJECT",IF(F182&lt;560,"REVIEW",IF(G182="","REVIEW",IF(AND(L182&lt;&gt;"Y",G182&gt;0.7),"REVIEW","PASS")))))</x:f>
        <x:v>PASS</x:v>
      </x:c>
      <x:c r="T182" s="35" t="str">
        <x:f>M182&amp;"→"&amp;S182</x:f>
        <x:v>PASS→PASS</x:v>
      </x:c>
    </x:row>
    <x:row r="183">
      <x:c r="A183" s="42" t="str">
        <x:v>APP2025000179</x:v>
      </x:c>
      <x:c r="B183" s="43" t="n">
        <x:f>VLOOKUP($A183,'01_申请数据'!$A$5:$L$204,3,FALSE)</x:f>
        <x:v>45809.42361111111</x:v>
      </x:c>
      <x:c r="C183" s="44" t="n">
        <x:f>VLOOKUP($A183,'01_申请数据'!$A$5:$L$204,5,FALSE)</x:f>
        <x:v>49000</x:v>
      </x:c>
      <x:c r="D183" s="45" t="n">
        <x:f>VLOOKUP($A183,'01_申请数据'!$A$5:$L$204,6,FALSE)</x:f>
        <x:v>12</x:v>
      </x:c>
      <x:c r="E183" s="44" t="n">
        <x:f>VLOOKUP($A183,'01_申请数据'!$A$5:$L$204,10,FALSE)</x:f>
        <x:v>8600</x:v>
      </x:c>
      <x:c r="F183" s="45" t="n">
        <x:f>VLOOKUP($A183,'02_征信特征'!$A$5:$J$204,3,FALSE)</x:f>
        <x:v>663</x:v>
      </x:c>
      <x:c r="G183" s="46" t="n">
        <x:f>VLOOKUP($A183,'02_征信特征'!$A$5:$J$204,4,FALSE)</x:f>
        <x:v>0.988</x:v>
      </x:c>
      <x:c r="H183" s="45" t="n">
        <x:f>VLOOKUP($A183,'02_征信特征'!$A$5:$J$204,5,FALSE)</x:f>
        <x:v>0</x:v>
      </x:c>
      <x:c r="I183" s="45" t="n">
        <x:f>VLOOKUP($A183,'02_征信特征'!$A$5:$J$204,6,FALSE)</x:f>
        <x:v>0</x:v>
      </x:c>
      <x:c r="J183" s="45" t="n">
        <x:f>VLOOKUP($A183,'02_征信特征'!$A$5:$J$204,7,FALSE)</x:f>
        <x:v>0</x:v>
      </x:c>
      <x:c r="K183" s="45" t="n">
        <x:f>VLOOKUP($A183,'02_征信特征'!$A$5:$J$204,8,FALSE)</x:f>
        <x:v>2</x:v>
      </x:c>
      <x:c r="L183" s="42" t="str">
        <x:f>VLOOKUP($A183,'02_征信特征'!$A$5:$J$204,9,FALSE)</x:f>
        <x:v>N</x:v>
      </x:c>
      <x:c r="M183" s="42" t="str">
        <x:f>VLOOKUP($A183,'03_决策日志'!$A$5:$G$204,4,FALSE)</x:f>
        <x:v>REVIEW</x:v>
      </x:c>
      <x:c r="N183" s="42" t="str">
        <x:f>IFERROR(VLOOKUP($A183,'04_人工审核'!$A$5:$H$57,6,FALSE),"NOT_REQUIRED")</x:f>
        <x:v>APPROVE</x:v>
      </x:c>
      <x:c r="O183" s="42" t="str">
        <x:f>IFERROR(VLOOKUP($A183,'05_贷后表现'!$A$5:$J$137,2,FALSE),"N")</x:f>
        <x:v>N</x:v>
      </x:c>
      <x:c r="P183" s="42" t="str">
        <x:f>IFERROR(VLOOKUP($A183,'05_贷后表现'!$A$5:$J$137,6,FALSE),"")</x:f>
      </x:c>
      <x:c r="Q183" s="42" t="str">
        <x:f>IFERROR(VLOOKUP($A183,'05_贷后表现'!$A$5:$J$137,7,FALSE),"")</x:f>
      </x:c>
      <x:c r="R183" s="45" t="str">
        <x:f>IFERROR(VLOOKUP($A183,'05_贷后表现'!$A$5:$J$137,8,FALSE),"")</x:f>
      </x:c>
      <x:c r="S183" s="35" t="str">
        <x:f>IF(F183&lt;500,"REJECT",IF(OR(I183&gt;=2,J183&gt;60),"REJECT",IF(F183&lt;560,"REVIEW",IF(G183="","REVIEW",IF(AND(L183&lt;&gt;"Y",G183&gt;0.7),"REVIEW","PASS")))))</x:f>
        <x:v>REVIEW</x:v>
      </x:c>
      <x:c r="T183" s="35" t="str">
        <x:f>M183&amp;"→"&amp;S183</x:f>
        <x:v>REVIEW→REVIEW</x:v>
      </x:c>
    </x:row>
    <x:row r="184">
      <x:c r="A184" s="42" t="str">
        <x:v>APP2025000180</x:v>
      </x:c>
      <x:c r="B184" s="43" t="n">
        <x:f>VLOOKUP($A184,'01_申请数据'!$A$5:$L$204,3,FALSE)</x:f>
        <x:v>45778.41736111111</x:v>
      </x:c>
      <x:c r="C184" s="44" t="n">
        <x:f>VLOOKUP($A184,'01_申请数据'!$A$5:$L$204,5,FALSE)</x:f>
        <x:v>134000</x:v>
      </x:c>
      <x:c r="D184" s="45" t="n">
        <x:f>VLOOKUP($A184,'01_申请数据'!$A$5:$L$204,6,FALSE)</x:f>
        <x:v>36</x:v>
      </x:c>
      <x:c r="E184" s="44" t="n">
        <x:f>VLOOKUP($A184,'01_申请数据'!$A$5:$L$204,10,FALSE)</x:f>
        <x:v>29700</x:v>
      </x:c>
      <x:c r="F184" s="45" t="n">
        <x:f>VLOOKUP($A184,'02_征信特征'!$A$5:$J$204,3,FALSE)</x:f>
        <x:v>649</x:v>
      </x:c>
      <x:c r="G184" s="46" t="n">
        <x:f>VLOOKUP($A184,'02_征信特征'!$A$5:$J$204,4,FALSE)</x:f>
        <x:v>0.91</x:v>
      </x:c>
      <x:c r="H184" s="45" t="n">
        <x:f>VLOOKUP($A184,'02_征信特征'!$A$5:$J$204,5,FALSE)</x:f>
        <x:v>3</x:v>
      </x:c>
      <x:c r="I184" s="45" t="n">
        <x:f>VLOOKUP($A184,'02_征信特征'!$A$5:$J$204,6,FALSE)</x:f>
        <x:v>0</x:v>
      </x:c>
      <x:c r="J184" s="45" t="n">
        <x:f>VLOOKUP($A184,'02_征信特征'!$A$5:$J$204,7,FALSE)</x:f>
        <x:v>0</x:v>
      </x:c>
      <x:c r="K184" s="45" t="n">
        <x:f>VLOOKUP($A184,'02_征信特征'!$A$5:$J$204,8,FALSE)</x:f>
        <x:v>4</x:v>
      </x:c>
      <x:c r="L184" s="42" t="str">
        <x:f>VLOOKUP($A184,'02_征信特征'!$A$5:$J$204,9,FALSE)</x:f>
        <x:v>N</x:v>
      </x:c>
      <x:c r="M184" s="42" t="str">
        <x:f>VLOOKUP($A184,'03_决策日志'!$A$5:$G$204,4,FALSE)</x:f>
        <x:v>REVIEW</x:v>
      </x:c>
      <x:c r="N184" s="42" t="str">
        <x:f>IFERROR(VLOOKUP($A184,'04_人工审核'!$A$5:$H$57,6,FALSE),"NOT_REQUIRED")</x:f>
        <x:v>DECLINE</x:v>
      </x:c>
      <x:c r="O184" s="42" t="str">
        <x:f>IFERROR(VLOOKUP($A184,'05_贷后表现'!$A$5:$J$137,2,FALSE),"N")</x:f>
        <x:v>N</x:v>
      </x:c>
      <x:c r="P184" s="42" t="str">
        <x:f>IFERROR(VLOOKUP($A184,'05_贷后表现'!$A$5:$J$137,6,FALSE),"")</x:f>
      </x:c>
      <x:c r="Q184" s="42" t="str">
        <x:f>IFERROR(VLOOKUP($A184,'05_贷后表现'!$A$5:$J$137,7,FALSE),"")</x:f>
      </x:c>
      <x:c r="R184" s="45" t="str">
        <x:f>IFERROR(VLOOKUP($A184,'05_贷后表现'!$A$5:$J$137,8,FALSE),"")</x:f>
      </x:c>
      <x:c r="S184" s="35" t="str">
        <x:f>IF(F184&lt;500,"REJECT",IF(OR(I184&gt;=2,J184&gt;60),"REJECT",IF(F184&lt;560,"REVIEW",IF(G184="","REVIEW",IF(AND(L184&lt;&gt;"Y",G184&gt;0.7),"REVIEW","PASS")))))</x:f>
        <x:v>REVIEW</x:v>
      </x:c>
      <x:c r="T184" s="35" t="str">
        <x:f>M184&amp;"→"&amp;S184</x:f>
        <x:v>REVIEW→REVIEW</x:v>
      </x:c>
    </x:row>
    <x:row r="185">
      <x:c r="A185" s="42" t="str">
        <x:v>APP2025000181</x:v>
      </x:c>
      <x:c r="B185" s="43" t="n">
        <x:f>VLOOKUP($A185,'01_申请数据'!$A$5:$L$204,3,FALSE)</x:f>
        <x:v>45825.614583333336</x:v>
      </x:c>
      <x:c r="C185" s="44" t="n">
        <x:f>VLOOKUP($A185,'01_申请数据'!$A$5:$L$204,5,FALSE)</x:f>
        <x:v>102000</x:v>
      </x:c>
      <x:c r="D185" s="45" t="n">
        <x:f>VLOOKUP($A185,'01_申请数据'!$A$5:$L$204,6,FALSE)</x:f>
        <x:v>6</x:v>
      </x:c>
      <x:c r="E185" s="44" t="n">
        <x:f>VLOOKUP($A185,'01_申请数据'!$A$5:$L$204,10,FALSE)</x:f>
        <x:v>17800</x:v>
      </x:c>
      <x:c r="F185" s="45" t="n">
        <x:f>VLOOKUP($A185,'02_征信特征'!$A$5:$J$204,3,FALSE)</x:f>
        <x:v>687</x:v>
      </x:c>
      <x:c r="G185" s="46" t="n">
        <x:f>VLOOKUP($A185,'02_征信特征'!$A$5:$J$204,4,FALSE)</x:f>
        <x:v>0.791</x:v>
      </x:c>
      <x:c r="H185" s="45" t="n">
        <x:f>VLOOKUP($A185,'02_征信特征'!$A$5:$J$204,5,FALSE)</x:f>
        <x:v>3</x:v>
      </x:c>
      <x:c r="I185" s="45" t="n">
        <x:f>VLOOKUP($A185,'02_征信特征'!$A$5:$J$204,6,FALSE)</x:f>
        <x:v>0</x:v>
      </x:c>
      <x:c r="J185" s="45" t="n">
        <x:f>VLOOKUP($A185,'02_征信特征'!$A$5:$J$204,7,FALSE)</x:f>
        <x:v>0</x:v>
      </x:c>
      <x:c r="K185" s="45" t="n">
        <x:f>VLOOKUP($A185,'02_征信特征'!$A$5:$J$204,8,FALSE)</x:f>
        <x:v>7</x:v>
      </x:c>
      <x:c r="L185" s="42" t="str">
        <x:f>VLOOKUP($A185,'02_征信特征'!$A$5:$J$204,9,FALSE)</x:f>
        <x:v>N</x:v>
      </x:c>
      <x:c r="M185" s="42" t="str">
        <x:f>VLOOKUP($A185,'03_决策日志'!$A$5:$G$204,4,FALSE)</x:f>
        <x:v>PASS</x:v>
      </x:c>
      <x:c r="N185" s="42" t="str">
        <x:f>IFERROR(VLOOKUP($A185,'04_人工审核'!$A$5:$H$57,6,FALSE),"NOT_REQUIRED")</x:f>
        <x:v>NOT_REQUIRED</x:v>
      </x:c>
      <x:c r="O185" s="42" t="str">
        <x:f>IFERROR(VLOOKUP($A185,'05_贷后表现'!$A$5:$J$137,2,FALSE),"N")</x:f>
        <x:v>N</x:v>
      </x:c>
      <x:c r="P185" s="42" t="str">
        <x:f>IFERROR(VLOOKUP($A185,'05_贷后表现'!$A$5:$J$137,6,FALSE),"")</x:f>
      </x:c>
      <x:c r="Q185" s="42" t="str">
        <x:f>IFERROR(VLOOKUP($A185,'05_贷后表现'!$A$5:$J$137,7,FALSE),"")</x:f>
      </x:c>
      <x:c r="R185" s="45" t="str">
        <x:f>IFERROR(VLOOKUP($A185,'05_贷后表现'!$A$5:$J$137,8,FALSE),"")</x:f>
      </x:c>
      <x:c r="S185" s="35" t="str">
        <x:f>IF(F185&lt;500,"REJECT",IF(OR(I185&gt;=2,J185&gt;60),"REJECT",IF(F185&lt;560,"REVIEW",IF(G185="","REVIEW",IF(AND(L185&lt;&gt;"Y",G185&gt;0.7),"REVIEW","PASS")))))</x:f>
        <x:v>REVIEW</x:v>
      </x:c>
      <x:c r="T185" s="35" t="str">
        <x:f>M185&amp;"→"&amp;S185</x:f>
        <x:v>PASS→REVIEW</x:v>
      </x:c>
    </x:row>
    <x:row r="186">
      <x:c r="A186" s="42" t="str">
        <x:v>APP2025000182</x:v>
      </x:c>
      <x:c r="B186" s="43" t="n">
        <x:f>VLOOKUP($A186,'01_申请数据'!$A$5:$L$204,3,FALSE)</x:f>
        <x:v>45790.54027777778</x:v>
      </x:c>
      <x:c r="C186" s="44" t="n">
        <x:f>VLOOKUP($A186,'01_申请数据'!$A$5:$L$204,5,FALSE)</x:f>
        <x:v>118000</x:v>
      </x:c>
      <x:c r="D186" s="45" t="n">
        <x:f>VLOOKUP($A186,'01_申请数据'!$A$5:$L$204,6,FALSE)</x:f>
        <x:v>12</x:v>
      </x:c>
      <x:c r="E186" s="44" t="n">
        <x:f>VLOOKUP($A186,'01_申请数据'!$A$5:$L$204,10,FALSE)</x:f>
        <x:v>22700</x:v>
      </x:c>
      <x:c r="F186" s="45" t="n">
        <x:f>VLOOKUP($A186,'02_征信特征'!$A$5:$J$204,3,FALSE)</x:f>
        <x:v>544</x:v>
      </x:c>
      <x:c r="G186" s="46" t="n">
        <x:f>VLOOKUP($A186,'02_征信特征'!$A$5:$J$204,4,FALSE)</x:f>
        <x:v>0.99</x:v>
      </x:c>
      <x:c r="H186" s="45" t="n">
        <x:f>VLOOKUP($A186,'02_征信特征'!$A$5:$J$204,5,FALSE)</x:f>
        <x:v>3</x:v>
      </x:c>
      <x:c r="I186" s="45" t="n">
        <x:f>VLOOKUP($A186,'02_征信特征'!$A$5:$J$204,6,FALSE)</x:f>
        <x:v>2</x:v>
      </x:c>
      <x:c r="J186" s="45" t="n">
        <x:f>VLOOKUP($A186,'02_征信特征'!$A$5:$J$204,7,FALSE)</x:f>
        <x:v>80</x:v>
      </x:c>
      <x:c r="K186" s="45" t="n">
        <x:f>VLOOKUP($A186,'02_征信特征'!$A$5:$J$204,8,FALSE)</x:f>
        <x:v>0</x:v>
      </x:c>
      <x:c r="L186" s="42" t="str">
        <x:f>VLOOKUP($A186,'02_征信特征'!$A$5:$J$204,9,FALSE)</x:f>
        <x:v>N</x:v>
      </x:c>
      <x:c r="M186" s="42" t="str">
        <x:f>VLOOKUP($A186,'03_决策日志'!$A$5:$G$204,4,FALSE)</x:f>
        <x:v>REVIEW</x:v>
      </x:c>
      <x:c r="N186" s="42" t="str">
        <x:f>IFERROR(VLOOKUP($A186,'04_人工审核'!$A$5:$H$57,6,FALSE),"NOT_REQUIRED")</x:f>
        <x:v>DECLINE</x:v>
      </x:c>
      <x:c r="O186" s="42" t="str">
        <x:f>IFERROR(VLOOKUP($A186,'05_贷后表现'!$A$5:$J$137,2,FALSE),"N")</x:f>
        <x:v>N</x:v>
      </x:c>
      <x:c r="P186" s="42" t="str">
        <x:f>IFERROR(VLOOKUP($A186,'05_贷后表现'!$A$5:$J$137,6,FALSE),"")</x:f>
      </x:c>
      <x:c r="Q186" s="42" t="str">
        <x:f>IFERROR(VLOOKUP($A186,'05_贷后表现'!$A$5:$J$137,7,FALSE),"")</x:f>
      </x:c>
      <x:c r="R186" s="45" t="str">
        <x:f>IFERROR(VLOOKUP($A186,'05_贷后表现'!$A$5:$J$137,8,FALSE),"")</x:f>
      </x:c>
      <x:c r="S186" s="35" t="str">
        <x:f>IF(F186&lt;500,"REJECT",IF(OR(I186&gt;=2,J186&gt;60),"REJECT",IF(F186&lt;560,"REVIEW",IF(G186="","REVIEW",IF(AND(L186&lt;&gt;"Y",G186&gt;0.7),"REVIEW","PASS")))))</x:f>
        <x:v>REJECT</x:v>
      </x:c>
      <x:c r="T186" s="35" t="str">
        <x:f>M186&amp;"→"&amp;S186</x:f>
        <x:v>REVIEW→REJECT</x:v>
      </x:c>
    </x:row>
    <x:row r="187">
      <x:c r="A187" s="42" t="str">
        <x:v>APP2025000183</x:v>
      </x:c>
      <x:c r="B187" s="43" t="n">
        <x:f>VLOOKUP($A187,'01_申请数据'!$A$5:$L$204,3,FALSE)</x:f>
        <x:v>45666.40972222222</x:v>
      </x:c>
      <x:c r="C187" s="44" t="n">
        <x:f>VLOOKUP($A187,'01_申请数据'!$A$5:$L$204,5,FALSE)</x:f>
        <x:v>58000</x:v>
      </x:c>
      <x:c r="D187" s="45" t="n">
        <x:f>VLOOKUP($A187,'01_申请数据'!$A$5:$L$204,6,FALSE)</x:f>
        <x:v>24</x:v>
      </x:c>
      <x:c r="E187" s="44" t="n">
        <x:f>VLOOKUP($A187,'01_申请数据'!$A$5:$L$204,10,FALSE)</x:f>
        <x:v>29100</x:v>
      </x:c>
      <x:c r="F187" s="45" t="n">
        <x:f>VLOOKUP($A187,'02_征信特征'!$A$5:$J$204,3,FALSE)</x:f>
        <x:v>508</x:v>
      </x:c>
      <x:c r="G187" s="46" t="n">
        <x:f>VLOOKUP($A187,'02_征信特征'!$A$5:$J$204,4,FALSE)</x:f>
        <x:v>0.385</x:v>
      </x:c>
      <x:c r="H187" s="45" t="n">
        <x:f>VLOOKUP($A187,'02_征信特征'!$A$5:$J$204,5,FALSE)</x:f>
        <x:v>4</x:v>
      </x:c>
      <x:c r="I187" s="45" t="n">
        <x:f>VLOOKUP($A187,'02_征信特征'!$A$5:$J$204,6,FALSE)</x:f>
        <x:v>4</x:v>
      </x:c>
      <x:c r="J187" s="45" t="n">
        <x:f>VLOOKUP($A187,'02_征信特征'!$A$5:$J$204,7,FALSE)</x:f>
        <x:v>139</x:v>
      </x:c>
      <x:c r="K187" s="45" t="n">
        <x:f>VLOOKUP($A187,'02_征信特征'!$A$5:$J$204,8,FALSE)</x:f>
        <x:v>9</x:v>
      </x:c>
      <x:c r="L187" s="42" t="str">
        <x:f>VLOOKUP($A187,'02_征信特征'!$A$5:$J$204,9,FALSE)</x:f>
        <x:v>N</x:v>
      </x:c>
      <x:c r="M187" s="42" t="str">
        <x:f>VLOOKUP($A187,'03_决策日志'!$A$5:$G$204,4,FALSE)</x:f>
        <x:v>REJECT</x:v>
      </x:c>
      <x:c r="N187" s="42" t="str">
        <x:f>IFERROR(VLOOKUP($A187,'04_人工审核'!$A$5:$H$57,6,FALSE),"NOT_REQUIRED")</x:f>
        <x:v>NOT_REQUIRED</x:v>
      </x:c>
      <x:c r="O187" s="42" t="str">
        <x:f>IFERROR(VLOOKUP($A187,'05_贷后表现'!$A$5:$J$137,2,FALSE),"N")</x:f>
        <x:v>N</x:v>
      </x:c>
      <x:c r="P187" s="42" t="str">
        <x:f>IFERROR(VLOOKUP($A187,'05_贷后表现'!$A$5:$J$137,6,FALSE),"")</x:f>
      </x:c>
      <x:c r="Q187" s="42" t="str">
        <x:f>IFERROR(VLOOKUP($A187,'05_贷后表现'!$A$5:$J$137,7,FALSE),"")</x:f>
      </x:c>
      <x:c r="R187" s="45" t="str">
        <x:f>IFERROR(VLOOKUP($A187,'05_贷后表现'!$A$5:$J$137,8,FALSE),"")</x:f>
      </x:c>
      <x:c r="S187" s="35" t="str">
        <x:f>IF(F187&lt;500,"REJECT",IF(OR(I187&gt;=2,J187&gt;60),"REJECT",IF(F187&lt;560,"REVIEW",IF(G187="","REVIEW",IF(AND(L187&lt;&gt;"Y",G187&gt;0.7),"REVIEW","PASS")))))</x:f>
        <x:v>REJECT</x:v>
      </x:c>
      <x:c r="T187" s="35" t="str">
        <x:f>M187&amp;"→"&amp;S187</x:f>
        <x:v>REJECT→REJECT</x:v>
      </x:c>
    </x:row>
    <x:row r="188">
      <x:c r="A188" s="42" t="str">
        <x:v>APP2025000184</x:v>
      </x:c>
      <x:c r="B188" s="43" t="n">
        <x:f>VLOOKUP($A188,'01_申请数据'!$A$5:$L$204,3,FALSE)</x:f>
        <x:v>45832.464583333334</x:v>
      </x:c>
      <x:c r="C188" s="44" t="n">
        <x:f>VLOOKUP($A188,'01_申请数据'!$A$5:$L$204,5,FALSE)</x:f>
        <x:v>142000</x:v>
      </x:c>
      <x:c r="D188" s="45" t="n">
        <x:f>VLOOKUP($A188,'01_申请数据'!$A$5:$L$204,6,FALSE)</x:f>
        <x:v>36</x:v>
      </x:c>
      <x:c r="E188" s="44" t="n">
        <x:f>VLOOKUP($A188,'01_申请数据'!$A$5:$L$204,10,FALSE)</x:f>
        <x:v>26700</x:v>
      </x:c>
      <x:c r="F188" s="45" t="n">
        <x:f>VLOOKUP($A188,'02_征信特征'!$A$5:$J$204,3,FALSE)</x:f>
        <x:v>505</x:v>
      </x:c>
      <x:c r="G188" s="46" t="n">
        <x:f>VLOOKUP($A188,'02_征信特征'!$A$5:$J$204,4,FALSE)</x:f>
        <x:v>0.813</x:v>
      </x:c>
      <x:c r="H188" s="45" t="n">
        <x:f>VLOOKUP($A188,'02_征信特征'!$A$5:$J$204,5,FALSE)</x:f>
        <x:v>0</x:v>
      </x:c>
      <x:c r="I188" s="45" t="n">
        <x:f>VLOOKUP($A188,'02_征信特征'!$A$5:$J$204,6,FALSE)</x:f>
        <x:v>4</x:v>
      </x:c>
      <x:c r="J188" s="45" t="n">
        <x:f>VLOOKUP($A188,'02_征信特征'!$A$5:$J$204,7,FALSE)</x:f>
        <x:v>60</x:v>
      </x:c>
      <x:c r="K188" s="45" t="n">
        <x:f>VLOOKUP($A188,'02_征信特征'!$A$5:$J$204,8,FALSE)</x:f>
        <x:v>7</x:v>
      </x:c>
      <x:c r="L188" s="42" t="str">
        <x:f>VLOOKUP($A188,'02_征信特征'!$A$5:$J$204,9,FALSE)</x:f>
        <x:v>N</x:v>
      </x:c>
      <x:c r="M188" s="42" t="str">
        <x:f>VLOOKUP($A188,'03_决策日志'!$A$5:$G$204,4,FALSE)</x:f>
        <x:v>REJECT</x:v>
      </x:c>
      <x:c r="N188" s="42" t="str">
        <x:f>IFERROR(VLOOKUP($A188,'04_人工审核'!$A$5:$H$57,6,FALSE),"NOT_REQUIRED")</x:f>
        <x:v>NOT_REQUIRED</x:v>
      </x:c>
      <x:c r="O188" s="42" t="str">
        <x:f>IFERROR(VLOOKUP($A188,'05_贷后表现'!$A$5:$J$137,2,FALSE),"N")</x:f>
        <x:v>N</x:v>
      </x:c>
      <x:c r="P188" s="42" t="str">
        <x:f>IFERROR(VLOOKUP($A188,'05_贷后表现'!$A$5:$J$137,6,FALSE),"")</x:f>
      </x:c>
      <x:c r="Q188" s="42" t="str">
        <x:f>IFERROR(VLOOKUP($A188,'05_贷后表现'!$A$5:$J$137,7,FALSE),"")</x:f>
      </x:c>
      <x:c r="R188" s="45" t="str">
        <x:f>IFERROR(VLOOKUP($A188,'05_贷后表现'!$A$5:$J$137,8,FALSE),"")</x:f>
      </x:c>
      <x:c r="S188" s="35" t="str">
        <x:f>IF(F188&lt;500,"REJECT",IF(OR(I188&gt;=2,J188&gt;60),"REJECT",IF(F188&lt;560,"REVIEW",IF(G188="","REVIEW",IF(AND(L188&lt;&gt;"Y",G188&gt;0.7),"REVIEW","PASS")))))</x:f>
        <x:v>REJECT</x:v>
      </x:c>
      <x:c r="T188" s="35" t="str">
        <x:f>M188&amp;"→"&amp;S188</x:f>
        <x:v>REJECT→REJECT</x:v>
      </x:c>
    </x:row>
    <x:row r="189">
      <x:c r="A189" s="42" t="str">
        <x:v>APP2025000185</x:v>
      </x:c>
      <x:c r="B189" s="43" t="n">
        <x:f>VLOOKUP($A189,'01_申请数据'!$A$5:$L$204,3,FALSE)</x:f>
        <x:v>45736.339583333334</x:v>
      </x:c>
      <x:c r="C189" s="44" t="n">
        <x:f>VLOOKUP($A189,'01_申请数据'!$A$5:$L$204,5,FALSE)</x:f>
        <x:v>83000</x:v>
      </x:c>
      <x:c r="D189" s="45" t="n">
        <x:f>VLOOKUP($A189,'01_申请数据'!$A$5:$L$204,6,FALSE)</x:f>
        <x:v>6</x:v>
      </x:c>
      <x:c r="E189" s="44" t="n">
        <x:f>VLOOKUP($A189,'01_申请数据'!$A$5:$L$204,10,FALSE)</x:f>
        <x:v>24200</x:v>
      </x:c>
      <x:c r="F189" s="45" t="n">
        <x:f>VLOOKUP($A189,'02_征信特征'!$A$5:$J$204,3,FALSE)</x:f>
        <x:v>680</x:v>
      </x:c>
      <x:c r="G189" s="46" t="n">
        <x:f>VLOOKUP($A189,'02_征信特征'!$A$5:$J$204,4,FALSE)</x:f>
        <x:v>0.347</x:v>
      </x:c>
      <x:c r="H189" s="45" t="n">
        <x:f>VLOOKUP($A189,'02_征信特征'!$A$5:$J$204,5,FALSE)</x:f>
        <x:v>4</x:v>
      </x:c>
      <x:c r="I189" s="45" t="n">
        <x:f>VLOOKUP($A189,'02_征信特征'!$A$5:$J$204,6,FALSE)</x:f>
        <x:v>0</x:v>
      </x:c>
      <x:c r="J189" s="45" t="n">
        <x:f>VLOOKUP($A189,'02_征信特征'!$A$5:$J$204,7,FALSE)</x:f>
        <x:v>0</x:v>
      </x:c>
      <x:c r="K189" s="45" t="n">
        <x:f>VLOOKUP($A189,'02_征信特征'!$A$5:$J$204,8,FALSE)</x:f>
        <x:v>11</x:v>
      </x:c>
      <x:c r="L189" s="42" t="str">
        <x:f>VLOOKUP($A189,'02_征信特征'!$A$5:$J$204,9,FALSE)</x:f>
        <x:v>N</x:v>
      </x:c>
      <x:c r="M189" s="42" t="str">
        <x:f>VLOOKUP($A189,'03_决策日志'!$A$5:$G$204,4,FALSE)</x:f>
        <x:v>PASS</x:v>
      </x:c>
      <x:c r="N189" s="42" t="str">
        <x:f>IFERROR(VLOOKUP($A189,'04_人工审核'!$A$5:$H$57,6,FALSE),"NOT_REQUIRED")</x:f>
        <x:v>NOT_REQUIRED</x:v>
      </x:c>
      <x:c r="O189" s="42" t="str">
        <x:f>IFERROR(VLOOKUP($A189,'05_贷后表现'!$A$5:$J$137,2,FALSE),"N")</x:f>
        <x:v>Y</x:v>
      </x:c>
      <x:c r="P189" s="42" t="str">
        <x:f>IFERROR(VLOOKUP($A189,'05_贷后表现'!$A$5:$J$137,6,FALSE),"")</x:f>
        <x:v>N</x:v>
      </x:c>
      <x:c r="Q189" s="42" t="str">
        <x:f>IFERROR(VLOOKUP($A189,'05_贷后表现'!$A$5:$J$137,7,FALSE),"")</x:f>
        <x:v>N</x:v>
      </x:c>
      <x:c r="R189" s="45" t="n">
        <x:f>IFERROR(VLOOKUP($A189,'05_贷后表现'!$A$5:$J$137,8,FALSE),"")</x:f>
        <x:v>12</x:v>
      </x:c>
      <x:c r="S189" s="35" t="str">
        <x:f>IF(F189&lt;500,"REJECT",IF(OR(I189&gt;=2,J189&gt;60),"REJECT",IF(F189&lt;560,"REVIEW",IF(G189="","REVIEW",IF(AND(L189&lt;&gt;"Y",G189&gt;0.7),"REVIEW","PASS")))))</x:f>
        <x:v>PASS</x:v>
      </x:c>
      <x:c r="T189" s="35" t="str">
        <x:f>M189&amp;"→"&amp;S189</x:f>
        <x:v>PASS→PASS</x:v>
      </x:c>
    </x:row>
    <x:row r="190">
      <x:c r="A190" s="42" t="str">
        <x:v>APP2025000186</x:v>
      </x:c>
      <x:c r="B190" s="43" t="n">
        <x:f>VLOOKUP($A190,'01_申请数据'!$A$5:$L$204,3,FALSE)</x:f>
        <x:v>45752.3625</x:v>
      </x:c>
      <x:c r="C190" s="44" t="n">
        <x:f>VLOOKUP($A190,'01_申请数据'!$A$5:$L$204,5,FALSE)</x:f>
        <x:v>39000</x:v>
      </x:c>
      <x:c r="D190" s="45" t="n">
        <x:f>VLOOKUP($A190,'01_申请数据'!$A$5:$L$204,6,FALSE)</x:f>
        <x:v>36</x:v>
      </x:c>
      <x:c r="E190" s="44" t="n">
        <x:f>VLOOKUP($A190,'01_申请数据'!$A$5:$L$204,10,FALSE)</x:f>
        <x:v>25500</x:v>
      </x:c>
      <x:c r="F190" s="45" t="n">
        <x:f>VLOOKUP($A190,'02_征信特征'!$A$5:$J$204,3,FALSE)</x:f>
        <x:v>636</x:v>
      </x:c>
      <x:c r="G190" s="46" t="n">
        <x:f>VLOOKUP($A190,'02_征信特征'!$A$5:$J$204,4,FALSE)</x:f>
        <x:v>0.656</x:v>
      </x:c>
      <x:c r="H190" s="45" t="n">
        <x:f>VLOOKUP($A190,'02_征信特征'!$A$5:$J$204,5,FALSE)</x:f>
        <x:v>0</x:v>
      </x:c>
      <x:c r="I190" s="45" t="n">
        <x:f>VLOOKUP($A190,'02_征信特征'!$A$5:$J$204,6,FALSE)</x:f>
        <x:v>1</x:v>
      </x:c>
      <x:c r="J190" s="45" t="n">
        <x:f>VLOOKUP($A190,'02_征信特征'!$A$5:$J$204,7,FALSE)</x:f>
        <x:v>14</x:v>
      </x:c>
      <x:c r="K190" s="45" t="n">
        <x:f>VLOOKUP($A190,'02_征信特征'!$A$5:$J$204,8,FALSE)</x:f>
        <x:v>3</x:v>
      </x:c>
      <x:c r="L190" s="42" t="str">
        <x:f>VLOOKUP($A190,'02_征信特征'!$A$5:$J$204,9,FALSE)</x:f>
        <x:v>N</x:v>
      </x:c>
      <x:c r="M190" s="42" t="str">
        <x:f>VLOOKUP($A190,'03_决策日志'!$A$5:$G$204,4,FALSE)</x:f>
        <x:v>PASS</x:v>
      </x:c>
      <x:c r="N190" s="42" t="str">
        <x:f>IFERROR(VLOOKUP($A190,'04_人工审核'!$A$5:$H$57,6,FALSE),"NOT_REQUIRED")</x:f>
        <x:v>NOT_REQUIRED</x:v>
      </x:c>
      <x:c r="O190" s="42" t="str">
        <x:f>IFERROR(VLOOKUP($A190,'05_贷后表现'!$A$5:$J$137,2,FALSE),"N")</x:f>
        <x:v>Y</x:v>
      </x:c>
      <x:c r="P190" s="42" t="str">
        <x:f>IFERROR(VLOOKUP($A190,'05_贷后表现'!$A$5:$J$137,6,FALSE),"")</x:f>
        <x:v>N</x:v>
      </x:c>
      <x:c r="Q190" s="42" t="str">
        <x:f>IFERROR(VLOOKUP($A190,'05_贷后表现'!$A$5:$J$137,7,FALSE),"")</x:f>
        <x:v>N</x:v>
      </x:c>
      <x:c r="R190" s="45" t="n">
        <x:f>IFERROR(VLOOKUP($A190,'05_贷后表现'!$A$5:$J$137,8,FALSE),"")</x:f>
        <x:v>11</x:v>
      </x:c>
      <x:c r="S190" s="35" t="str">
        <x:f>IF(F190&lt;500,"REJECT",IF(OR(I190&gt;=2,J190&gt;60),"REJECT",IF(F190&lt;560,"REVIEW",IF(G190="","REVIEW",IF(AND(L190&lt;&gt;"Y",G190&gt;0.7),"REVIEW","PASS")))))</x:f>
        <x:v>PASS</x:v>
      </x:c>
      <x:c r="T190" s="35" t="str">
        <x:f>M190&amp;"→"&amp;S190</x:f>
        <x:v>PASS→PASS</x:v>
      </x:c>
    </x:row>
    <x:row r="191">
      <x:c r="A191" s="42" t="str">
        <x:v>APP2025000187</x:v>
      </x:c>
      <x:c r="B191" s="43" t="n">
        <x:f>VLOOKUP($A191,'01_申请数据'!$A$5:$L$204,3,FALSE)</x:f>
        <x:v>45682.51736111111</x:v>
      </x:c>
      <x:c r="C191" s="44" t="n">
        <x:f>VLOOKUP($A191,'01_申请数据'!$A$5:$L$204,5,FALSE)</x:f>
        <x:v>17000</x:v>
      </x:c>
      <x:c r="D191" s="45" t="n">
        <x:f>VLOOKUP($A191,'01_申请数据'!$A$5:$L$204,6,FALSE)</x:f>
        <x:v>6</x:v>
      </x:c>
      <x:c r="E191" s="44" t="n">
        <x:f>VLOOKUP($A191,'01_申请数据'!$A$5:$L$204,10,FALSE)</x:f>
        <x:v>8200</x:v>
      </x:c>
      <x:c r="F191" s="45" t="n">
        <x:f>VLOOKUP($A191,'02_征信特征'!$A$5:$J$204,3,FALSE)</x:f>
        <x:v>629</x:v>
      </x:c>
      <x:c r="G191" s="46" t="n">
        <x:f>VLOOKUP($A191,'02_征信特征'!$A$5:$J$204,4,FALSE)</x:f>
        <x:v>0.569</x:v>
      </x:c>
      <x:c r="H191" s="45" t="n">
        <x:f>VLOOKUP($A191,'02_征信特征'!$A$5:$J$204,5,FALSE)</x:f>
        <x:v>4</x:v>
      </x:c>
      <x:c r="I191" s="45" t="n">
        <x:f>VLOOKUP($A191,'02_征信特征'!$A$5:$J$204,6,FALSE)</x:f>
        <x:v>0</x:v>
      </x:c>
      <x:c r="J191" s="45" t="n">
        <x:f>VLOOKUP($A191,'02_征信特征'!$A$5:$J$204,7,FALSE)</x:f>
        <x:v>0</x:v>
      </x:c>
      <x:c r="K191" s="45" t="n">
        <x:f>VLOOKUP($A191,'02_征信特征'!$A$5:$J$204,8,FALSE)</x:f>
        <x:v>10</x:v>
      </x:c>
      <x:c r="L191" s="42" t="str">
        <x:f>VLOOKUP($A191,'02_征信特征'!$A$5:$J$204,9,FALSE)</x:f>
        <x:v>N</x:v>
      </x:c>
      <x:c r="M191" s="42" t="str">
        <x:f>VLOOKUP($A191,'03_决策日志'!$A$5:$G$204,4,FALSE)</x:f>
        <x:v>PASS</x:v>
      </x:c>
      <x:c r="N191" s="42" t="str">
        <x:f>IFERROR(VLOOKUP($A191,'04_人工审核'!$A$5:$H$57,6,FALSE),"NOT_REQUIRED")</x:f>
        <x:v>NOT_REQUIRED</x:v>
      </x:c>
      <x:c r="O191" s="42" t="str">
        <x:f>IFERROR(VLOOKUP($A191,'05_贷后表现'!$A$5:$J$137,2,FALSE),"N")</x:f>
        <x:v>Y</x:v>
      </x:c>
      <x:c r="P191" s="42" t="str">
        <x:f>IFERROR(VLOOKUP($A191,'05_贷后表现'!$A$5:$J$137,6,FALSE),"")</x:f>
        <x:v>N</x:v>
      </x:c>
      <x:c r="Q191" s="42" t="str">
        <x:f>IFERROR(VLOOKUP($A191,'05_贷后表现'!$A$5:$J$137,7,FALSE),"")</x:f>
        <x:v>N</x:v>
      </x:c>
      <x:c r="R191" s="45" t="n">
        <x:f>IFERROR(VLOOKUP($A191,'05_贷后表现'!$A$5:$J$137,8,FALSE),"")</x:f>
        <x:v>9</x:v>
      </x:c>
      <x:c r="S191" s="35" t="str">
        <x:f>IF(F191&lt;500,"REJECT",IF(OR(I191&gt;=2,J191&gt;60),"REJECT",IF(F191&lt;560,"REVIEW",IF(G191="","REVIEW",IF(AND(L191&lt;&gt;"Y",G191&gt;0.7),"REVIEW","PASS")))))</x:f>
        <x:v>PASS</x:v>
      </x:c>
      <x:c r="T191" s="35" t="str">
        <x:f>M191&amp;"→"&amp;S191</x:f>
        <x:v>PASS→PASS</x:v>
      </x:c>
    </x:row>
    <x:row r="192">
      <x:c r="A192" s="42" t="str">
        <x:v>APP2025000188</x:v>
      </x:c>
      <x:c r="B192" s="43" t="n">
        <x:f>VLOOKUP($A192,'01_申请数据'!$A$5:$L$204,3,FALSE)</x:f>
        <x:v>45832.65</x:v>
      </x:c>
      <x:c r="C192" s="44" t="n">
        <x:f>VLOOKUP($A192,'01_申请数据'!$A$5:$L$204,5,FALSE)</x:f>
        <x:v>144000</x:v>
      </x:c>
      <x:c r="D192" s="45" t="n">
        <x:f>VLOOKUP($A192,'01_申请数据'!$A$5:$L$204,6,FALSE)</x:f>
        <x:v>36</x:v>
      </x:c>
      <x:c r="E192" s="44" t="n">
        <x:f>VLOOKUP($A192,'01_申请数据'!$A$5:$L$204,10,FALSE)</x:f>
        <x:v>26000</x:v>
      </x:c>
      <x:c r="F192" s="45" t="n">
        <x:f>VLOOKUP($A192,'02_征信特征'!$A$5:$J$204,3,FALSE)</x:f>
        <x:v>454</x:v>
      </x:c>
      <x:c r="G192" s="46" t="n">
        <x:f>VLOOKUP($A192,'02_征信特征'!$A$5:$J$204,4,FALSE)</x:f>
        <x:v>0.64</x:v>
      </x:c>
      <x:c r="H192" s="45" t="n">
        <x:f>VLOOKUP($A192,'02_征信特征'!$A$5:$J$204,5,FALSE)</x:f>
        <x:v>3</x:v>
      </x:c>
      <x:c r="I192" s="45" t="n">
        <x:f>VLOOKUP($A192,'02_征信特征'!$A$5:$J$204,6,FALSE)</x:f>
        <x:v>4</x:v>
      </x:c>
      <x:c r="J192" s="45" t="n">
        <x:f>VLOOKUP($A192,'02_征信特征'!$A$5:$J$204,7,FALSE)</x:f>
        <x:v>17</x:v>
      </x:c>
      <x:c r="K192" s="45" t="n">
        <x:f>VLOOKUP($A192,'02_征信特征'!$A$5:$J$204,8,FALSE)</x:f>
        <x:v>3</x:v>
      </x:c>
      <x:c r="L192" s="42" t="str">
        <x:f>VLOOKUP($A192,'02_征信特征'!$A$5:$J$204,9,FALSE)</x:f>
        <x:v>N</x:v>
      </x:c>
      <x:c r="M192" s="42" t="str">
        <x:f>VLOOKUP($A192,'03_决策日志'!$A$5:$G$204,4,FALSE)</x:f>
        <x:v>REJECT</x:v>
      </x:c>
      <x:c r="N192" s="42" t="str">
        <x:f>IFERROR(VLOOKUP($A192,'04_人工审核'!$A$5:$H$57,6,FALSE),"NOT_REQUIRED")</x:f>
        <x:v>NOT_REQUIRED</x:v>
      </x:c>
      <x:c r="O192" s="42" t="str">
        <x:f>IFERROR(VLOOKUP($A192,'05_贷后表现'!$A$5:$J$137,2,FALSE),"N")</x:f>
        <x:v>N</x:v>
      </x:c>
      <x:c r="P192" s="42" t="str">
        <x:f>IFERROR(VLOOKUP($A192,'05_贷后表现'!$A$5:$J$137,6,FALSE),"")</x:f>
      </x:c>
      <x:c r="Q192" s="42" t="str">
        <x:f>IFERROR(VLOOKUP($A192,'05_贷后表现'!$A$5:$J$137,7,FALSE),"")</x:f>
      </x:c>
      <x:c r="R192" s="45" t="str">
        <x:f>IFERROR(VLOOKUP($A192,'05_贷后表现'!$A$5:$J$137,8,FALSE),"")</x:f>
      </x:c>
      <x:c r="S192" s="35" t="str">
        <x:f>IF(F192&lt;500,"REJECT",IF(OR(I192&gt;=2,J192&gt;60),"REJECT",IF(F192&lt;560,"REVIEW",IF(G192="","REVIEW",IF(AND(L192&lt;&gt;"Y",G192&gt;0.7),"REVIEW","PASS")))))</x:f>
        <x:v>REJECT</x:v>
      </x:c>
      <x:c r="T192" s="35" t="str">
        <x:f>M192&amp;"→"&amp;S192</x:f>
        <x:v>REJECT→REJECT</x:v>
      </x:c>
    </x:row>
    <x:row r="193">
      <x:c r="A193" s="42" t="str">
        <x:v>APP2025000189</x:v>
      </x:c>
      <x:c r="B193" s="43" t="n">
        <x:f>VLOOKUP($A193,'01_申请数据'!$A$5:$L$204,3,FALSE)</x:f>
        <x:v>45697.49652777778</x:v>
      </x:c>
      <x:c r="C193" s="44" t="n">
        <x:f>VLOOKUP($A193,'01_申请数据'!$A$5:$L$204,5,FALSE)</x:f>
        <x:v>80000</x:v>
      </x:c>
      <x:c r="D193" s="45" t="n">
        <x:f>VLOOKUP($A193,'01_申请数据'!$A$5:$L$204,6,FALSE)</x:f>
        <x:v>36</x:v>
      </x:c>
      <x:c r="E193" s="44" t="n">
        <x:f>VLOOKUP($A193,'01_申请数据'!$A$5:$L$204,10,FALSE)</x:f>
        <x:v>20100</x:v>
      </x:c>
      <x:c r="F193" s="45" t="n">
        <x:f>VLOOKUP($A193,'02_征信特征'!$A$5:$J$204,3,FALSE)</x:f>
        <x:v>605</x:v>
      </x:c>
      <x:c r="G193" s="46" t="n">
        <x:f>VLOOKUP($A193,'02_征信特征'!$A$5:$J$204,4,FALSE)</x:f>
        <x:v>0.977</x:v>
      </x:c>
      <x:c r="H193" s="45" t="n">
        <x:f>VLOOKUP($A193,'02_征信特征'!$A$5:$J$204,5,FALSE)</x:f>
        <x:v>4</x:v>
      </x:c>
      <x:c r="I193" s="45" t="n">
        <x:f>VLOOKUP($A193,'02_征信特征'!$A$5:$J$204,6,FALSE)</x:f>
        <x:v>2</x:v>
      </x:c>
      <x:c r="J193" s="45" t="n">
        <x:f>VLOOKUP($A193,'02_征信特征'!$A$5:$J$204,7,FALSE)</x:f>
        <x:v>10</x:v>
      </x:c>
      <x:c r="K193" s="45" t="n">
        <x:f>VLOOKUP($A193,'02_征信特征'!$A$5:$J$204,8,FALSE)</x:f>
        <x:v>3</x:v>
      </x:c>
      <x:c r="L193" s="42" t="str">
        <x:f>VLOOKUP($A193,'02_征信特征'!$A$5:$J$204,9,FALSE)</x:f>
        <x:v>N</x:v>
      </x:c>
      <x:c r="M193" s="42" t="str">
        <x:f>VLOOKUP($A193,'03_决策日志'!$A$5:$G$204,4,FALSE)</x:f>
        <x:v>REVIEW</x:v>
      </x:c>
      <x:c r="N193" s="42" t="str">
        <x:f>IFERROR(VLOOKUP($A193,'04_人工审核'!$A$5:$H$57,6,FALSE),"NOT_REQUIRED")</x:f>
        <x:v>APPROVE</x:v>
      </x:c>
      <x:c r="O193" s="42" t="str">
        <x:f>IFERROR(VLOOKUP($A193,'05_贷后表现'!$A$5:$J$137,2,FALSE),"N")</x:f>
        <x:v>Y</x:v>
      </x:c>
      <x:c r="P193" s="42" t="str">
        <x:f>IFERROR(VLOOKUP($A193,'05_贷后表现'!$A$5:$J$137,6,FALSE),"")</x:f>
        <x:v>Y</x:v>
      </x:c>
      <x:c r="Q193" s="42" t="str">
        <x:f>IFERROR(VLOOKUP($A193,'05_贷后表现'!$A$5:$J$137,7,FALSE),"")</x:f>
        <x:v>N</x:v>
      </x:c>
      <x:c r="R193" s="45" t="n">
        <x:f>IFERROR(VLOOKUP($A193,'05_贷后表现'!$A$5:$J$137,8,FALSE),"")</x:f>
        <x:v>6</x:v>
      </x:c>
      <x:c r="S193" s="35" t="str">
        <x:f>IF(F193&lt;500,"REJECT",IF(OR(I193&gt;=2,J193&gt;60),"REJECT",IF(F193&lt;560,"REVIEW",IF(G193="","REVIEW",IF(AND(L193&lt;&gt;"Y",G193&gt;0.7),"REVIEW","PASS")))))</x:f>
        <x:v>REJECT</x:v>
      </x:c>
      <x:c r="T193" s="35" t="str">
        <x:f>M193&amp;"→"&amp;S193</x:f>
        <x:v>REVIEW→REJECT</x:v>
      </x:c>
    </x:row>
    <x:row r="194">
      <x:c r="A194" s="42" t="str">
        <x:v>APP2025000190</x:v>
      </x:c>
      <x:c r="B194" s="43" t="n">
        <x:f>VLOOKUP($A194,'01_申请数据'!$A$5:$L$204,3,FALSE)</x:f>
        <x:v>45799.73263888889</x:v>
      </x:c>
      <x:c r="C194" s="44" t="n">
        <x:f>VLOOKUP($A194,'01_申请数据'!$A$5:$L$204,5,FALSE)</x:f>
        <x:v>113000</x:v>
      </x:c>
      <x:c r="D194" s="45" t="n">
        <x:f>VLOOKUP($A194,'01_申请数据'!$A$5:$L$204,6,FALSE)</x:f>
        <x:v>6</x:v>
      </x:c>
      <x:c r="E194" s="44" t="n">
        <x:f>VLOOKUP($A194,'01_申请数据'!$A$5:$L$204,10,FALSE)</x:f>
        <x:v>6600</x:v>
      </x:c>
      <x:c r="F194" s="45" t="n">
        <x:f>VLOOKUP($A194,'02_征信特征'!$A$5:$J$204,3,FALSE)</x:f>
        <x:v>611</x:v>
      </x:c>
      <x:c r="G194" s="46" t="n">
        <x:f>VLOOKUP($A194,'02_征信特征'!$A$5:$J$204,4,FALSE)</x:f>
        <x:v>0.924</x:v>
      </x:c>
      <x:c r="H194" s="45" t="n">
        <x:f>VLOOKUP($A194,'02_征信特征'!$A$5:$J$204,5,FALSE)</x:f>
        <x:v>3</x:v>
      </x:c>
      <x:c r="I194" s="45" t="n">
        <x:f>VLOOKUP($A194,'02_征信特征'!$A$5:$J$204,6,FALSE)</x:f>
        <x:v>1</x:v>
      </x:c>
      <x:c r="J194" s="45" t="n">
        <x:f>VLOOKUP($A194,'02_征信特征'!$A$5:$J$204,7,FALSE)</x:f>
        <x:v>16</x:v>
      </x:c>
      <x:c r="K194" s="45" t="n">
        <x:f>VLOOKUP($A194,'02_征信特征'!$A$5:$J$204,8,FALSE)</x:f>
        <x:v>11</x:v>
      </x:c>
      <x:c r="L194" s="42" t="str">
        <x:f>VLOOKUP($A194,'02_征信特征'!$A$5:$J$204,9,FALSE)</x:f>
        <x:v>N</x:v>
      </x:c>
      <x:c r="M194" s="42" t="str">
        <x:f>VLOOKUP($A194,'03_决策日志'!$A$5:$G$204,4,FALSE)</x:f>
        <x:v>REVIEW</x:v>
      </x:c>
      <x:c r="N194" s="42" t="str">
        <x:f>IFERROR(VLOOKUP($A194,'04_人工审核'!$A$5:$H$57,6,FALSE),"NOT_REQUIRED")</x:f>
        <x:v>APPROVE</x:v>
      </x:c>
      <x:c r="O194" s="42" t="str">
        <x:f>IFERROR(VLOOKUP($A194,'05_贷后表现'!$A$5:$J$137,2,FALSE),"N")</x:f>
        <x:v>Y</x:v>
      </x:c>
      <x:c r="P194" s="42" t="str">
        <x:f>IFERROR(VLOOKUP($A194,'05_贷后表现'!$A$5:$J$137,6,FALSE),"")</x:f>
        <x:v>N</x:v>
      </x:c>
      <x:c r="Q194" s="42" t="str">
        <x:f>IFERROR(VLOOKUP($A194,'05_贷后表现'!$A$5:$J$137,7,FALSE),"")</x:f>
        <x:v>N</x:v>
      </x:c>
      <x:c r="R194" s="45" t="n">
        <x:f>IFERROR(VLOOKUP($A194,'05_贷后表现'!$A$5:$J$137,8,FALSE),"")</x:f>
        <x:v>6</x:v>
      </x:c>
      <x:c r="S194" s="35" t="str">
        <x:f>IF(F194&lt;500,"REJECT",IF(OR(I194&gt;=2,J194&gt;60),"REJECT",IF(F194&lt;560,"REVIEW",IF(G194="","REVIEW",IF(AND(L194&lt;&gt;"Y",G194&gt;0.7),"REVIEW","PASS")))))</x:f>
        <x:v>REVIEW</x:v>
      </x:c>
      <x:c r="T194" s="35" t="str">
        <x:f>M194&amp;"→"&amp;S194</x:f>
        <x:v>REVIEW→REVIEW</x:v>
      </x:c>
    </x:row>
    <x:row r="195">
      <x:c r="A195" s="42" t="str">
        <x:v>APP2025000191</x:v>
      </x:c>
      <x:c r="B195" s="43" t="n">
        <x:f>VLOOKUP($A195,'01_申请数据'!$A$5:$L$204,3,FALSE)</x:f>
        <x:v>45776.63125</x:v>
      </x:c>
      <x:c r="C195" s="44" t="n">
        <x:f>VLOOKUP($A195,'01_申请数据'!$A$5:$L$204,5,FALSE)</x:f>
        <x:v>144000</x:v>
      </x:c>
      <x:c r="D195" s="45" t="n">
        <x:f>VLOOKUP($A195,'01_申请数据'!$A$5:$L$204,6,FALSE)</x:f>
        <x:v>18</x:v>
      </x:c>
      <x:c r="E195" s="44" t="n">
        <x:f>VLOOKUP($A195,'01_申请数据'!$A$5:$L$204,10,FALSE)</x:f>
        <x:v>13400</x:v>
      </x:c>
      <x:c r="F195" s="45" t="n">
        <x:f>VLOOKUP($A195,'02_征信特征'!$A$5:$J$204,3,FALSE)</x:f>
        <x:v>580</x:v>
      </x:c>
      <x:c r="G195" s="46" t="n">
        <x:f>VLOOKUP($A195,'02_征信特征'!$A$5:$J$204,4,FALSE)</x:f>
        <x:v>0.839</x:v>
      </x:c>
      <x:c r="H195" s="45" t="n">
        <x:f>VLOOKUP($A195,'02_征信特征'!$A$5:$J$204,5,FALSE)</x:f>
        <x:v>3</x:v>
      </x:c>
      <x:c r="I195" s="45" t="n">
        <x:f>VLOOKUP($A195,'02_征信特征'!$A$5:$J$204,6,FALSE)</x:f>
        <x:v>1</x:v>
      </x:c>
      <x:c r="J195" s="45" t="n">
        <x:f>VLOOKUP($A195,'02_征信特征'!$A$5:$J$204,7,FALSE)</x:f>
        <x:v>18</x:v>
      </x:c>
      <x:c r="K195" s="45" t="n">
        <x:f>VLOOKUP($A195,'02_征信特征'!$A$5:$J$204,8,FALSE)</x:f>
        <x:v>11</x:v>
      </x:c>
      <x:c r="L195" s="42" t="str">
        <x:f>VLOOKUP($A195,'02_征信特征'!$A$5:$J$204,9,FALSE)</x:f>
        <x:v>N</x:v>
      </x:c>
      <x:c r="M195" s="42" t="str">
        <x:f>VLOOKUP($A195,'03_决策日志'!$A$5:$G$204,4,FALSE)</x:f>
        <x:v>REVIEW</x:v>
      </x:c>
      <x:c r="N195" s="42" t="str">
        <x:f>IFERROR(VLOOKUP($A195,'04_人工审核'!$A$5:$H$57,6,FALSE),"NOT_REQUIRED")</x:f>
        <x:v>DECLINE</x:v>
      </x:c>
      <x:c r="O195" s="42" t="str">
        <x:f>IFERROR(VLOOKUP($A195,'05_贷后表现'!$A$5:$J$137,2,FALSE),"N")</x:f>
        <x:v>N</x:v>
      </x:c>
      <x:c r="P195" s="42" t="str">
        <x:f>IFERROR(VLOOKUP($A195,'05_贷后表现'!$A$5:$J$137,6,FALSE),"")</x:f>
      </x:c>
      <x:c r="Q195" s="42" t="str">
        <x:f>IFERROR(VLOOKUP($A195,'05_贷后表现'!$A$5:$J$137,7,FALSE),"")</x:f>
      </x:c>
      <x:c r="R195" s="45" t="str">
        <x:f>IFERROR(VLOOKUP($A195,'05_贷后表现'!$A$5:$J$137,8,FALSE),"")</x:f>
      </x:c>
      <x:c r="S195" s="35" t="str">
        <x:f>IF(F195&lt;500,"REJECT",IF(OR(I195&gt;=2,J195&gt;60),"REJECT",IF(F195&lt;560,"REVIEW",IF(G195="","REVIEW",IF(AND(L195&lt;&gt;"Y",G195&gt;0.7),"REVIEW","PASS")))))</x:f>
        <x:v>REVIEW</x:v>
      </x:c>
      <x:c r="T195" s="35" t="str">
        <x:f>M195&amp;"→"&amp;S195</x:f>
        <x:v>REVIEW→REVIEW</x:v>
      </x:c>
    </x:row>
    <x:row r="196">
      <x:c r="A196" s="42" t="str">
        <x:v>APP2025000192</x:v>
      </x:c>
      <x:c r="B196" s="43" t="n">
        <x:f>VLOOKUP($A196,'01_申请数据'!$A$5:$L$204,3,FALSE)</x:f>
        <x:v>45662.68680555555</x:v>
      </x:c>
      <x:c r="C196" s="44" t="n">
        <x:f>VLOOKUP($A196,'01_申请数据'!$A$5:$L$204,5,FALSE)</x:f>
        <x:v>46000</x:v>
      </x:c>
      <x:c r="D196" s="45" t="n">
        <x:f>VLOOKUP($A196,'01_申请数据'!$A$5:$L$204,6,FALSE)</x:f>
        <x:v>36</x:v>
      </x:c>
      <x:c r="E196" s="44" t="n">
        <x:f>VLOOKUP($A196,'01_申请数据'!$A$5:$L$204,10,FALSE)</x:f>
        <x:v>5200</x:v>
      </x:c>
      <x:c r="F196" s="45" t="n">
        <x:f>VLOOKUP($A196,'02_征信特征'!$A$5:$J$204,3,FALSE)</x:f>
        <x:v>643</x:v>
      </x:c>
      <x:c r="G196" s="46" t="n">
        <x:f>VLOOKUP($A196,'02_征信特征'!$A$5:$J$204,4,FALSE)</x:f>
        <x:v>0.849</x:v>
      </x:c>
      <x:c r="H196" s="45" t="n">
        <x:f>VLOOKUP($A196,'02_征信特征'!$A$5:$J$204,5,FALSE)</x:f>
        <x:v>1</x:v>
      </x:c>
      <x:c r="I196" s="45" t="n">
        <x:f>VLOOKUP($A196,'02_征信特征'!$A$5:$J$204,6,FALSE)</x:f>
        <x:v>1</x:v>
      </x:c>
      <x:c r="J196" s="45" t="n">
        <x:f>VLOOKUP($A196,'02_征信特征'!$A$5:$J$204,7,FALSE)</x:f>
        <x:v>17</x:v>
      </x:c>
      <x:c r="K196" s="45" t="n">
        <x:f>VLOOKUP($A196,'02_征信特征'!$A$5:$J$204,8,FALSE)</x:f>
        <x:v>0</x:v>
      </x:c>
      <x:c r="L196" s="42" t="str">
        <x:f>VLOOKUP($A196,'02_征信特征'!$A$5:$J$204,9,FALSE)</x:f>
        <x:v>N</x:v>
      </x:c>
      <x:c r="M196" s="42" t="str">
        <x:f>VLOOKUP($A196,'03_决策日志'!$A$5:$G$204,4,FALSE)</x:f>
        <x:v>REVIEW</x:v>
      </x:c>
      <x:c r="N196" s="42" t="str">
        <x:f>IFERROR(VLOOKUP($A196,'04_人工审核'!$A$5:$H$57,6,FALSE),"NOT_REQUIRED")</x:f>
        <x:v>DECLINE</x:v>
      </x:c>
      <x:c r="O196" s="42" t="str">
        <x:f>IFERROR(VLOOKUP($A196,'05_贷后表现'!$A$5:$J$137,2,FALSE),"N")</x:f>
        <x:v>N</x:v>
      </x:c>
      <x:c r="P196" s="42" t="str">
        <x:f>IFERROR(VLOOKUP($A196,'05_贷后表现'!$A$5:$J$137,6,FALSE),"")</x:f>
      </x:c>
      <x:c r="Q196" s="42" t="str">
        <x:f>IFERROR(VLOOKUP($A196,'05_贷后表现'!$A$5:$J$137,7,FALSE),"")</x:f>
      </x:c>
      <x:c r="R196" s="45" t="str">
        <x:f>IFERROR(VLOOKUP($A196,'05_贷后表现'!$A$5:$J$137,8,FALSE),"")</x:f>
      </x:c>
      <x:c r="S196" s="35" t="str">
        <x:f>IF(F196&lt;500,"REJECT",IF(OR(I196&gt;=2,J196&gt;60),"REJECT",IF(F196&lt;560,"REVIEW",IF(G196="","REVIEW",IF(AND(L196&lt;&gt;"Y",G196&gt;0.7),"REVIEW","PASS")))))</x:f>
        <x:v>REVIEW</x:v>
      </x:c>
      <x:c r="T196" s="35" t="str">
        <x:f>M196&amp;"→"&amp;S196</x:f>
        <x:v>REVIEW→REVIEW</x:v>
      </x:c>
    </x:row>
    <x:row r="197">
      <x:c r="A197" s="42" t="str">
        <x:v>APP2025000193</x:v>
      </x:c>
      <x:c r="B197" s="43" t="n">
        <x:f>VLOOKUP($A197,'01_申请数据'!$A$5:$L$204,3,FALSE)</x:f>
        <x:v>45764.50277777778</x:v>
      </x:c>
      <x:c r="C197" s="44" t="n">
        <x:f>VLOOKUP($A197,'01_申请数据'!$A$5:$L$204,5,FALSE)</x:f>
        <x:v>137000</x:v>
      </x:c>
      <x:c r="D197" s="45" t="n">
        <x:f>VLOOKUP($A197,'01_申请数据'!$A$5:$L$204,6,FALSE)</x:f>
        <x:v>18</x:v>
      </x:c>
      <x:c r="E197" s="44" t="n">
        <x:f>VLOOKUP($A197,'01_申请数据'!$A$5:$L$204,10,FALSE)</x:f>
        <x:v>19000</x:v>
      </x:c>
      <x:c r="F197" s="45" t="n">
        <x:f>VLOOKUP($A197,'02_征信特征'!$A$5:$J$204,3,FALSE)</x:f>
        <x:v>681</x:v>
      </x:c>
      <x:c r="G197" s="46" t="n">
        <x:f>VLOOKUP($A197,'02_征信特征'!$A$5:$J$204,4,FALSE)</x:f>
        <x:v>0.45</x:v>
      </x:c>
      <x:c r="H197" s="45" t="n">
        <x:f>VLOOKUP($A197,'02_征信特征'!$A$5:$J$204,5,FALSE)</x:f>
        <x:v>3</x:v>
      </x:c>
      <x:c r="I197" s="45" t="n">
        <x:f>VLOOKUP($A197,'02_征信特征'!$A$5:$J$204,6,FALSE)</x:f>
        <x:v>0</x:v>
      </x:c>
      <x:c r="J197" s="45" t="n">
        <x:f>VLOOKUP($A197,'02_征信特征'!$A$5:$J$204,7,FALSE)</x:f>
        <x:v>0</x:v>
      </x:c>
      <x:c r="K197" s="45" t="n">
        <x:f>VLOOKUP($A197,'02_征信特征'!$A$5:$J$204,8,FALSE)</x:f>
        <x:v>4</x:v>
      </x:c>
      <x:c r="L197" s="42" t="str">
        <x:f>VLOOKUP($A197,'02_征信特征'!$A$5:$J$204,9,FALSE)</x:f>
        <x:v>N</x:v>
      </x:c>
      <x:c r="M197" s="42" t="str">
        <x:f>VLOOKUP($A197,'03_决策日志'!$A$5:$G$204,4,FALSE)</x:f>
        <x:v>PASS</x:v>
      </x:c>
      <x:c r="N197" s="42" t="str">
        <x:f>IFERROR(VLOOKUP($A197,'04_人工审核'!$A$5:$H$57,6,FALSE),"NOT_REQUIRED")</x:f>
        <x:v>NOT_REQUIRED</x:v>
      </x:c>
      <x:c r="O197" s="42" t="str">
        <x:f>IFERROR(VLOOKUP($A197,'05_贷后表现'!$A$5:$J$137,2,FALSE),"N")</x:f>
        <x:v>Y</x:v>
      </x:c>
      <x:c r="P197" s="42" t="str">
        <x:f>IFERROR(VLOOKUP($A197,'05_贷后表现'!$A$5:$J$137,6,FALSE),"")</x:f>
        <x:v>N</x:v>
      </x:c>
      <x:c r="Q197" s="42" t="str">
        <x:f>IFERROR(VLOOKUP($A197,'05_贷后表现'!$A$5:$J$137,7,FALSE),"")</x:f>
        <x:v>N</x:v>
      </x:c>
      <x:c r="R197" s="45" t="n">
        <x:f>IFERROR(VLOOKUP($A197,'05_贷后表现'!$A$5:$J$137,8,FALSE),"")</x:f>
        <x:v>9</x:v>
      </x:c>
      <x:c r="S197" s="35" t="str">
        <x:f>IF(F197&lt;500,"REJECT",IF(OR(I197&gt;=2,J197&gt;60),"REJECT",IF(F197&lt;560,"REVIEW",IF(G197="","REVIEW",IF(AND(L197&lt;&gt;"Y",G197&gt;0.7),"REVIEW","PASS")))))</x:f>
        <x:v>PASS</x:v>
      </x:c>
      <x:c r="T197" s="35" t="str">
        <x:f>M197&amp;"→"&amp;S197</x:f>
        <x:v>PASS→PASS</x:v>
      </x:c>
    </x:row>
    <x:row r="198">
      <x:c r="A198" s="42" t="str">
        <x:v>APP2025000194</x:v>
      </x:c>
      <x:c r="B198" s="43" t="n">
        <x:f>VLOOKUP($A198,'01_申请数据'!$A$5:$L$204,3,FALSE)</x:f>
        <x:v>45683.47361111111</x:v>
      </x:c>
      <x:c r="C198" s="44" t="n">
        <x:f>VLOOKUP($A198,'01_申请数据'!$A$5:$L$204,5,FALSE)</x:f>
        <x:v>140000</x:v>
      </x:c>
      <x:c r="D198" s="45" t="n">
        <x:f>VLOOKUP($A198,'01_申请数据'!$A$5:$L$204,6,FALSE)</x:f>
        <x:v>18</x:v>
      </x:c>
      <x:c r="E198" s="44" t="n">
        <x:f>VLOOKUP($A198,'01_申请数据'!$A$5:$L$204,10,FALSE)</x:f>
        <x:v>16400</x:v>
      </x:c>
      <x:c r="F198" s="45" t="n">
        <x:f>VLOOKUP($A198,'02_征信特征'!$A$5:$J$204,3,FALSE)</x:f>
        <x:v>591</x:v>
      </x:c>
      <x:c r="G198" s="46" t="n">
        <x:f>VLOOKUP($A198,'02_征信特征'!$A$5:$J$204,4,FALSE)</x:f>
        <x:v>0.181</x:v>
      </x:c>
      <x:c r="H198" s="45" t="n">
        <x:f>VLOOKUP($A198,'02_征信特征'!$A$5:$J$204,5,FALSE)</x:f>
        <x:v>1</x:v>
      </x:c>
      <x:c r="I198" s="45" t="n">
        <x:f>VLOOKUP($A198,'02_征信特征'!$A$5:$J$204,6,FALSE)</x:f>
        <x:v>2</x:v>
      </x:c>
      <x:c r="J198" s="45" t="n">
        <x:f>VLOOKUP($A198,'02_征信特征'!$A$5:$J$204,7,FALSE)</x:f>
        <x:v>38</x:v>
      </x:c>
      <x:c r="K198" s="45" t="n">
        <x:f>VLOOKUP($A198,'02_征信特征'!$A$5:$J$204,8,FALSE)</x:f>
        <x:v>6</x:v>
      </x:c>
      <x:c r="L198" s="42" t="str">
        <x:f>VLOOKUP($A198,'02_征信特征'!$A$5:$J$204,9,FALSE)</x:f>
        <x:v>Y</x:v>
      </x:c>
      <x:c r="M198" s="42" t="str">
        <x:f>VLOOKUP($A198,'03_决策日志'!$A$5:$G$204,4,FALSE)</x:f>
        <x:v>PASS</x:v>
      </x:c>
      <x:c r="N198" s="42" t="str">
        <x:f>IFERROR(VLOOKUP($A198,'04_人工审核'!$A$5:$H$57,6,FALSE),"NOT_REQUIRED")</x:f>
        <x:v>NOT_REQUIRED</x:v>
      </x:c>
      <x:c r="O198" s="42" t="str">
        <x:f>IFERROR(VLOOKUP($A198,'05_贷后表现'!$A$5:$J$137,2,FALSE),"N")</x:f>
        <x:v>Y</x:v>
      </x:c>
      <x:c r="P198" s="42" t="str">
        <x:f>IFERROR(VLOOKUP($A198,'05_贷后表现'!$A$5:$J$137,6,FALSE),"")</x:f>
        <x:v>N</x:v>
      </x:c>
      <x:c r="Q198" s="42" t="str">
        <x:f>IFERROR(VLOOKUP($A198,'05_贷后表现'!$A$5:$J$137,7,FALSE),"")</x:f>
        <x:v>N</x:v>
      </x:c>
      <x:c r="R198" s="45" t="n">
        <x:f>IFERROR(VLOOKUP($A198,'05_贷后表现'!$A$5:$J$137,8,FALSE),"")</x:f>
        <x:v>9</x:v>
      </x:c>
      <x:c r="S198" s="35" t="str">
        <x:f>IF(F198&lt;500,"REJECT",IF(OR(I198&gt;=2,J198&gt;60),"REJECT",IF(F198&lt;560,"REVIEW",IF(G198="","REVIEW",IF(AND(L198&lt;&gt;"Y",G198&gt;0.7),"REVIEW","PASS")))))</x:f>
        <x:v>REJECT</x:v>
      </x:c>
      <x:c r="T198" s="35" t="str">
        <x:f>M198&amp;"→"&amp;S198</x:f>
        <x:v>PASS→REJECT</x:v>
      </x:c>
    </x:row>
    <x:row r="199">
      <x:c r="A199" s="42" t="str">
        <x:v>APP2025000195</x:v>
      </x:c>
      <x:c r="B199" s="43" t="n">
        <x:f>VLOOKUP($A199,'01_申请数据'!$A$5:$L$204,3,FALSE)</x:f>
        <x:v>45676.5875</x:v>
      </x:c>
      <x:c r="C199" s="44" t="n">
        <x:f>VLOOKUP($A199,'01_申请数据'!$A$5:$L$204,5,FALSE)</x:f>
        <x:v>73000</x:v>
      </x:c>
      <x:c r="D199" s="45" t="n">
        <x:f>VLOOKUP($A199,'01_申请数据'!$A$5:$L$204,6,FALSE)</x:f>
        <x:v>36</x:v>
      </x:c>
      <x:c r="E199" s="44" t="n">
        <x:f>VLOOKUP($A199,'01_申请数据'!$A$5:$L$204,10,FALSE)</x:f>
        <x:v>22100</x:v>
      </x:c>
      <x:c r="F199" s="45" t="n">
        <x:f>VLOOKUP($A199,'02_征信特征'!$A$5:$J$204,3,FALSE)</x:f>
        <x:v>636</x:v>
      </x:c>
      <x:c r="G199" s="46" t="n">
        <x:f>VLOOKUP($A199,'02_征信特征'!$A$5:$J$204,4,FALSE)</x:f>
        <x:v>0.593</x:v>
      </x:c>
      <x:c r="H199" s="45" t="n">
        <x:f>VLOOKUP($A199,'02_征信特征'!$A$5:$J$204,5,FALSE)</x:f>
        <x:v>0</x:v>
      </x:c>
      <x:c r="I199" s="45" t="n">
        <x:f>VLOOKUP($A199,'02_征信特征'!$A$5:$J$204,6,FALSE)</x:f>
        <x:v>0</x:v>
      </x:c>
      <x:c r="J199" s="45" t="n">
        <x:f>VLOOKUP($A199,'02_征信特征'!$A$5:$J$204,7,FALSE)</x:f>
        <x:v>0</x:v>
      </x:c>
      <x:c r="K199" s="45" t="n">
        <x:f>VLOOKUP($A199,'02_征信特征'!$A$5:$J$204,8,FALSE)</x:f>
        <x:v>4</x:v>
      </x:c>
      <x:c r="L199" s="42" t="str">
        <x:f>VLOOKUP($A199,'02_征信特征'!$A$5:$J$204,9,FALSE)</x:f>
        <x:v>N</x:v>
      </x:c>
      <x:c r="M199" s="42" t="str">
        <x:f>VLOOKUP($A199,'03_决策日志'!$A$5:$G$204,4,FALSE)</x:f>
        <x:v>PASS</x:v>
      </x:c>
      <x:c r="N199" s="42" t="str">
        <x:f>IFERROR(VLOOKUP($A199,'04_人工审核'!$A$5:$H$57,6,FALSE),"NOT_REQUIRED")</x:f>
        <x:v>NOT_REQUIRED</x:v>
      </x:c>
      <x:c r="O199" s="42" t="str">
        <x:f>IFERROR(VLOOKUP($A199,'05_贷后表现'!$A$5:$J$137,2,FALSE),"N")</x:f>
        <x:v>Y</x:v>
      </x:c>
      <x:c r="P199" s="42" t="str">
        <x:f>IFERROR(VLOOKUP($A199,'05_贷后表现'!$A$5:$J$137,6,FALSE),"")</x:f>
        <x:v>N</x:v>
      </x:c>
      <x:c r="Q199" s="42" t="str">
        <x:f>IFERROR(VLOOKUP($A199,'05_贷后表现'!$A$5:$J$137,7,FALSE),"")</x:f>
        <x:v>N</x:v>
      </x:c>
      <x:c r="R199" s="45" t="n">
        <x:f>IFERROR(VLOOKUP($A199,'05_贷后表现'!$A$5:$J$137,8,FALSE),"")</x:f>
        <x:v>6</x:v>
      </x:c>
      <x:c r="S199" s="35" t="str">
        <x:f>IF(F199&lt;500,"REJECT",IF(OR(I199&gt;=2,J199&gt;60),"REJECT",IF(F199&lt;560,"REVIEW",IF(G199="","REVIEW",IF(AND(L199&lt;&gt;"Y",G199&gt;0.7),"REVIEW","PASS")))))</x:f>
        <x:v>PASS</x:v>
      </x:c>
      <x:c r="T199" s="35" t="str">
        <x:f>M199&amp;"→"&amp;S199</x:f>
        <x:v>PASS→PASS</x:v>
      </x:c>
    </x:row>
    <x:row r="200">
      <x:c r="A200" s="42" t="str">
        <x:v>APP2025000196</x:v>
      </x:c>
      <x:c r="B200" s="43" t="n">
        <x:f>VLOOKUP($A200,'01_申请数据'!$A$5:$L$204,3,FALSE)</x:f>
        <x:v>45733.441666666666</x:v>
      </x:c>
      <x:c r="C200" s="44" t="n">
        <x:f>VLOOKUP($A200,'01_申请数据'!$A$5:$L$204,5,FALSE)</x:f>
        <x:v>134000</x:v>
      </x:c>
      <x:c r="D200" s="45" t="n">
        <x:f>VLOOKUP($A200,'01_申请数据'!$A$5:$L$204,6,FALSE)</x:f>
        <x:v>24</x:v>
      </x:c>
      <x:c r="E200" s="44" t="n">
        <x:f>VLOOKUP($A200,'01_申请数据'!$A$5:$L$204,10,FALSE)</x:f>
        <x:v>21500</x:v>
      </x:c>
      <x:c r="F200" s="45" t="n">
        <x:f>VLOOKUP($A200,'02_征信特征'!$A$5:$J$204,3,FALSE)</x:f>
        <x:v>573</x:v>
      </x:c>
      <x:c r="G200" s="46" t="n">
        <x:f>VLOOKUP($A200,'02_征信特征'!$A$5:$J$204,4,FALSE)</x:f>
        <x:v>0.625</x:v>
      </x:c>
      <x:c r="H200" s="45" t="n">
        <x:f>VLOOKUP($A200,'02_征信特征'!$A$5:$J$204,5,FALSE)</x:f>
        <x:v>4</x:v>
      </x:c>
      <x:c r="I200" s="45" t="n">
        <x:f>VLOOKUP($A200,'02_征信特征'!$A$5:$J$204,6,FALSE)</x:f>
        <x:v>1</x:v>
      </x:c>
      <x:c r="J200" s="45" t="n">
        <x:f>VLOOKUP($A200,'02_征信特征'!$A$5:$J$204,7,FALSE)</x:f>
        <x:v>36</x:v>
      </x:c>
      <x:c r="K200" s="45" t="n">
        <x:f>VLOOKUP($A200,'02_征信特征'!$A$5:$J$204,8,FALSE)</x:f>
        <x:v>5</x:v>
      </x:c>
      <x:c r="L200" s="42" t="str">
        <x:f>VLOOKUP($A200,'02_征信特征'!$A$5:$J$204,9,FALSE)</x:f>
        <x:v>N</x:v>
      </x:c>
      <x:c r="M200" s="42" t="str">
        <x:f>VLOOKUP($A200,'03_决策日志'!$A$5:$G$204,4,FALSE)</x:f>
        <x:v>PASS</x:v>
      </x:c>
      <x:c r="N200" s="42" t="str">
        <x:f>IFERROR(VLOOKUP($A200,'04_人工审核'!$A$5:$H$57,6,FALSE),"NOT_REQUIRED")</x:f>
        <x:v>NOT_REQUIRED</x:v>
      </x:c>
      <x:c r="O200" s="42" t="str">
        <x:f>IFERROR(VLOOKUP($A200,'05_贷后表现'!$A$5:$J$137,2,FALSE),"N")</x:f>
        <x:v>Y</x:v>
      </x:c>
      <x:c r="P200" s="42" t="str">
        <x:f>IFERROR(VLOOKUP($A200,'05_贷后表现'!$A$5:$J$137,6,FALSE),"")</x:f>
        <x:v>N</x:v>
      </x:c>
      <x:c r="Q200" s="42" t="str">
        <x:f>IFERROR(VLOOKUP($A200,'05_贷后表现'!$A$5:$J$137,7,FALSE),"")</x:f>
        <x:v>N</x:v>
      </x:c>
      <x:c r="R200" s="45" t="n">
        <x:f>IFERROR(VLOOKUP($A200,'05_贷后表现'!$A$5:$J$137,8,FALSE),"")</x:f>
        <x:v>6</x:v>
      </x:c>
      <x:c r="S200" s="35" t="str">
        <x:f>IF(F200&lt;500,"REJECT",IF(OR(I200&gt;=2,J200&gt;60),"REJECT",IF(F200&lt;560,"REVIEW",IF(G200="","REVIEW",IF(AND(L200&lt;&gt;"Y",G200&gt;0.7),"REVIEW","PASS")))))</x:f>
        <x:v>PASS</x:v>
      </x:c>
      <x:c r="T200" s="35" t="str">
        <x:f>M200&amp;"→"&amp;S200</x:f>
        <x:v>PASS→PASS</x:v>
      </x:c>
    </x:row>
    <x:row r="201">
      <x:c r="A201" s="42" t="str">
        <x:v>APP2025000197</x:v>
      </x:c>
      <x:c r="B201" s="43" t="n">
        <x:f>VLOOKUP($A201,'01_申请数据'!$A$5:$L$204,3,FALSE)</x:f>
        <x:v>45811.73611111111</x:v>
      </x:c>
      <x:c r="C201" s="44" t="n">
        <x:f>VLOOKUP($A201,'01_申请数据'!$A$5:$L$204,5,FALSE)</x:f>
        <x:v>75000</x:v>
      </x:c>
      <x:c r="D201" s="45" t="n">
        <x:f>VLOOKUP($A201,'01_申请数据'!$A$5:$L$204,6,FALSE)</x:f>
        <x:v>18</x:v>
      </x:c>
      <x:c r="E201" s="44" t="n">
        <x:f>VLOOKUP($A201,'01_申请数据'!$A$5:$L$204,10,FALSE)</x:f>
        <x:v>12600</x:v>
      </x:c>
      <x:c r="F201" s="45" t="n">
        <x:f>VLOOKUP($A201,'02_征信特征'!$A$5:$J$204,3,FALSE)</x:f>
        <x:v>667</x:v>
      </x:c>
      <x:c r="G201" s="46" t="n">
        <x:f>VLOOKUP($A201,'02_征信特征'!$A$5:$J$204,4,FALSE)</x:f>
        <x:v>0.962</x:v>
      </x:c>
      <x:c r="H201" s="45" t="n">
        <x:f>VLOOKUP($A201,'02_征信特征'!$A$5:$J$204,5,FALSE)</x:f>
        <x:v>1</x:v>
      </x:c>
      <x:c r="I201" s="45" t="n">
        <x:f>VLOOKUP($A201,'02_征信特征'!$A$5:$J$204,6,FALSE)</x:f>
        <x:v>0</x:v>
      </x:c>
      <x:c r="J201" s="45" t="n">
        <x:f>VLOOKUP($A201,'02_征信特征'!$A$5:$J$204,7,FALSE)</x:f>
        <x:v>0</x:v>
      </x:c>
      <x:c r="K201" s="45" t="n">
        <x:f>VLOOKUP($A201,'02_征信特征'!$A$5:$J$204,8,FALSE)</x:f>
        <x:v>8</x:v>
      </x:c>
      <x:c r="L201" s="42" t="str">
        <x:f>VLOOKUP($A201,'02_征信特征'!$A$5:$J$204,9,FALSE)</x:f>
        <x:v>N</x:v>
      </x:c>
      <x:c r="M201" s="42" t="str">
        <x:f>VLOOKUP($A201,'03_决策日志'!$A$5:$G$204,4,FALSE)</x:f>
        <x:v>REVIEW</x:v>
      </x:c>
      <x:c r="N201" s="42" t="str">
        <x:f>IFERROR(VLOOKUP($A201,'04_人工审核'!$A$5:$H$57,6,FALSE),"NOT_REQUIRED")</x:f>
        <x:v>APPROVE</x:v>
      </x:c>
      <x:c r="O201" s="42" t="str">
        <x:f>IFERROR(VLOOKUP($A201,'05_贷后表现'!$A$5:$J$137,2,FALSE),"N")</x:f>
        <x:v>Y</x:v>
      </x:c>
      <x:c r="P201" s="42" t="str">
        <x:f>IFERROR(VLOOKUP($A201,'05_贷后表现'!$A$5:$J$137,6,FALSE),"")</x:f>
        <x:v>N</x:v>
      </x:c>
      <x:c r="Q201" s="42" t="str">
        <x:f>IFERROR(VLOOKUP($A201,'05_贷后表现'!$A$5:$J$137,7,FALSE),"")</x:f>
        <x:v>N</x:v>
      </x:c>
      <x:c r="R201" s="45" t="n">
        <x:f>IFERROR(VLOOKUP($A201,'05_贷后表现'!$A$5:$J$137,8,FALSE),"")</x:f>
        <x:v>8</x:v>
      </x:c>
      <x:c r="S201" s="35" t="str">
        <x:f>IF(F201&lt;500,"REJECT",IF(OR(I201&gt;=2,J201&gt;60),"REJECT",IF(F201&lt;560,"REVIEW",IF(G201="","REVIEW",IF(AND(L201&lt;&gt;"Y",G201&gt;0.7),"REVIEW","PASS")))))</x:f>
        <x:v>REVIEW</x:v>
      </x:c>
      <x:c r="T201" s="35" t="str">
        <x:f>M201&amp;"→"&amp;S201</x:f>
        <x:v>REVIEW→REVIEW</x:v>
      </x:c>
    </x:row>
    <x:row r="202">
      <x:c r="A202" s="42" t="str">
        <x:v>APP2025000198</x:v>
      </x:c>
      <x:c r="B202" s="43" t="n">
        <x:f>VLOOKUP($A202,'01_申请数据'!$A$5:$L$204,3,FALSE)</x:f>
        <x:v>45774.39166666667</x:v>
      </x:c>
      <x:c r="C202" s="44" t="n">
        <x:f>VLOOKUP($A202,'01_申请数据'!$A$5:$L$204,5,FALSE)</x:f>
        <x:v>66000</x:v>
      </x:c>
      <x:c r="D202" s="45" t="n">
        <x:f>VLOOKUP($A202,'01_申请数据'!$A$5:$L$204,6,FALSE)</x:f>
        <x:v>36</x:v>
      </x:c>
      <x:c r="E202" s="44" t="n">
        <x:f>VLOOKUP($A202,'01_申请数据'!$A$5:$L$204,10,FALSE)</x:f>
        <x:v>6300</x:v>
      </x:c>
      <x:c r="F202" s="45" t="n">
        <x:f>VLOOKUP($A202,'02_征信特征'!$A$5:$J$204,3,FALSE)</x:f>
        <x:v>700</x:v>
      </x:c>
      <x:c r="G202" s="46" t="n">
        <x:f>VLOOKUP($A202,'02_征信特征'!$A$5:$J$204,4,FALSE)</x:f>
        <x:v>0.449</x:v>
      </x:c>
      <x:c r="H202" s="45" t="n">
        <x:f>VLOOKUP($A202,'02_征信特征'!$A$5:$J$204,5,FALSE)</x:f>
        <x:v>0</x:v>
      </x:c>
      <x:c r="I202" s="45" t="n">
        <x:f>VLOOKUP($A202,'02_征信特征'!$A$5:$J$204,6,FALSE)</x:f>
        <x:v>0</x:v>
      </x:c>
      <x:c r="J202" s="45" t="n">
        <x:f>VLOOKUP($A202,'02_征信特征'!$A$5:$J$204,7,FALSE)</x:f>
        <x:v>0</x:v>
      </x:c>
      <x:c r="K202" s="45" t="n">
        <x:f>VLOOKUP($A202,'02_征信特征'!$A$5:$J$204,8,FALSE)</x:f>
        <x:v>6</x:v>
      </x:c>
      <x:c r="L202" s="42" t="str">
        <x:f>VLOOKUP($A202,'02_征信特征'!$A$5:$J$204,9,FALSE)</x:f>
        <x:v>N</x:v>
      </x:c>
      <x:c r="M202" s="42" t="str">
        <x:f>VLOOKUP($A202,'03_决策日志'!$A$5:$G$204,4,FALSE)</x:f>
        <x:v>PASS</x:v>
      </x:c>
      <x:c r="N202" s="42" t="str">
        <x:f>IFERROR(VLOOKUP($A202,'04_人工审核'!$A$5:$H$57,6,FALSE),"NOT_REQUIRED")</x:f>
        <x:v>NOT_REQUIRED</x:v>
      </x:c>
      <x:c r="O202" s="42" t="str">
        <x:f>IFERROR(VLOOKUP($A202,'05_贷后表现'!$A$5:$J$137,2,FALSE),"N")</x:f>
        <x:v>Y</x:v>
      </x:c>
      <x:c r="P202" s="42" t="str">
        <x:f>IFERROR(VLOOKUP($A202,'05_贷后表现'!$A$5:$J$137,6,FALSE),"")</x:f>
        <x:v>N</x:v>
      </x:c>
      <x:c r="Q202" s="42" t="str">
        <x:f>IFERROR(VLOOKUP($A202,'05_贷后表现'!$A$5:$J$137,7,FALSE),"")</x:f>
        <x:v>N</x:v>
      </x:c>
      <x:c r="R202" s="45" t="n">
        <x:f>IFERROR(VLOOKUP($A202,'05_贷后表现'!$A$5:$J$137,8,FALSE),"")</x:f>
        <x:v>11</x:v>
      </x:c>
      <x:c r="S202" s="35" t="str">
        <x:f>IF(F202&lt;500,"REJECT",IF(OR(I202&gt;=2,J202&gt;60),"REJECT",IF(F202&lt;560,"REVIEW",IF(G202="","REVIEW",IF(AND(L202&lt;&gt;"Y",G202&gt;0.7),"REVIEW","PASS")))))</x:f>
        <x:v>PASS</x:v>
      </x:c>
      <x:c r="T202" s="35" t="str">
        <x:f>M202&amp;"→"&amp;S202</x:f>
        <x:v>PASS→PASS</x:v>
      </x:c>
    </x:row>
    <x:row r="203">
      <x:c r="A203" s="42" t="str">
        <x:v>APP2025000199</x:v>
      </x:c>
      <x:c r="B203" s="43" t="n">
        <x:f>VLOOKUP($A203,'01_申请数据'!$A$5:$L$204,3,FALSE)</x:f>
        <x:v>45810.694444444445</x:v>
      </x:c>
      <x:c r="C203" s="44" t="n">
        <x:f>VLOOKUP($A203,'01_申请数据'!$A$5:$L$204,5,FALSE)</x:f>
        <x:v>111000</x:v>
      </x:c>
      <x:c r="D203" s="45" t="n">
        <x:f>VLOOKUP($A203,'01_申请数据'!$A$5:$L$204,6,FALSE)</x:f>
        <x:v>12</x:v>
      </x:c>
      <x:c r="E203" s="44" t="n">
        <x:f>VLOOKUP($A203,'01_申请数据'!$A$5:$L$204,10,FALSE)</x:f>
        <x:v>20800</x:v>
      </x:c>
      <x:c r="F203" s="45" t="n">
        <x:f>VLOOKUP($A203,'02_征信特征'!$A$5:$J$204,3,FALSE)</x:f>
        <x:v>625</x:v>
      </x:c>
      <x:c r="G203" s="46" t="n">
        <x:f>VLOOKUP($A203,'02_征信特征'!$A$5:$J$204,4,FALSE)</x:f>
        <x:v>0.57</x:v>
      </x:c>
      <x:c r="H203" s="45" t="n">
        <x:f>VLOOKUP($A203,'02_征信特征'!$A$5:$J$204,5,FALSE)</x:f>
        <x:v>2</x:v>
      </x:c>
      <x:c r="I203" s="45" t="n">
        <x:f>VLOOKUP($A203,'02_征信特征'!$A$5:$J$204,6,FALSE)</x:f>
        <x:v>0</x:v>
      </x:c>
      <x:c r="J203" s="45" t="n">
        <x:f>VLOOKUP($A203,'02_征信特征'!$A$5:$J$204,7,FALSE)</x:f>
        <x:v>0</x:v>
      </x:c>
      <x:c r="K203" s="45" t="n">
        <x:f>VLOOKUP($A203,'02_征信特征'!$A$5:$J$204,8,FALSE)</x:f>
        <x:v>4</x:v>
      </x:c>
      <x:c r="L203" s="42" t="str">
        <x:f>VLOOKUP($A203,'02_征信特征'!$A$5:$J$204,9,FALSE)</x:f>
        <x:v>N</x:v>
      </x:c>
      <x:c r="M203" s="42" t="str">
        <x:f>VLOOKUP($A203,'03_决策日志'!$A$5:$G$204,4,FALSE)</x:f>
        <x:v>PASS</x:v>
      </x:c>
      <x:c r="N203" s="42" t="str">
        <x:f>IFERROR(VLOOKUP($A203,'04_人工审核'!$A$5:$H$57,6,FALSE),"NOT_REQUIRED")</x:f>
        <x:v>NOT_REQUIRED</x:v>
      </x:c>
      <x:c r="O203" s="42" t="str">
        <x:f>IFERROR(VLOOKUP($A203,'05_贷后表现'!$A$5:$J$137,2,FALSE),"N")</x:f>
        <x:v>Y</x:v>
      </x:c>
      <x:c r="P203" s="42" t="str">
        <x:f>IFERROR(VLOOKUP($A203,'05_贷后表现'!$A$5:$J$137,6,FALSE),"")</x:f>
        <x:v>N</x:v>
      </x:c>
      <x:c r="Q203" s="42" t="str">
        <x:f>IFERROR(VLOOKUP($A203,'05_贷后表现'!$A$5:$J$137,7,FALSE),"")</x:f>
        <x:v>N</x:v>
      </x:c>
      <x:c r="R203" s="45" t="n">
        <x:f>IFERROR(VLOOKUP($A203,'05_贷后表现'!$A$5:$J$137,8,FALSE),"")</x:f>
        <x:v>12</x:v>
      </x:c>
      <x:c r="S203" s="35" t="str">
        <x:f>IF(F203&lt;500,"REJECT",IF(OR(I203&gt;=2,J203&gt;60),"REJECT",IF(F203&lt;560,"REVIEW",IF(G203="","REVIEW",IF(AND(L203&lt;&gt;"Y",G203&gt;0.7),"REVIEW","PASS")))))</x:f>
        <x:v>PASS</x:v>
      </x:c>
      <x:c r="T203" s="35" t="str">
        <x:f>M203&amp;"→"&amp;S203</x:f>
        <x:v>PASS→PASS</x:v>
      </x:c>
    </x:row>
    <x:row r="204">
      <x:c r="A204" s="47" t="str">
        <x:v>APP2025000200</x:v>
      </x:c>
      <x:c r="B204" s="48" t="n">
        <x:f>VLOOKUP($A204,'01_申请数据'!$A$5:$L$204,3,FALSE)</x:f>
        <x:v>45782.4125</x:v>
      </x:c>
      <x:c r="C204" s="49" t="n">
        <x:f>VLOOKUP($A204,'01_申请数据'!$A$5:$L$204,5,FALSE)</x:f>
        <x:v>20000</x:v>
      </x:c>
      <x:c r="D204" s="50" t="n">
        <x:f>VLOOKUP($A204,'01_申请数据'!$A$5:$L$204,6,FALSE)</x:f>
        <x:v>6</x:v>
      </x:c>
      <x:c r="E204" s="49" t="n">
        <x:f>VLOOKUP($A204,'01_申请数据'!$A$5:$L$204,10,FALSE)</x:f>
        <x:v>17400</x:v>
      </x:c>
      <x:c r="F204" s="50" t="n">
        <x:f>VLOOKUP($A204,'02_征信特征'!$A$5:$J$204,3,FALSE)</x:f>
        <x:v>703</x:v>
      </x:c>
      <x:c r="G204" s="51" t="n">
        <x:f>VLOOKUP($A204,'02_征信特征'!$A$5:$J$204,4,FALSE)</x:f>
        <x:v>0.537</x:v>
      </x:c>
      <x:c r="H204" s="50" t="n">
        <x:f>VLOOKUP($A204,'02_征信特征'!$A$5:$J$204,5,FALSE)</x:f>
        <x:v>3</x:v>
      </x:c>
      <x:c r="I204" s="50" t="n">
        <x:f>VLOOKUP($A204,'02_征信特征'!$A$5:$J$204,6,FALSE)</x:f>
        <x:v>0</x:v>
      </x:c>
      <x:c r="J204" s="50" t="n">
        <x:f>VLOOKUP($A204,'02_征信特征'!$A$5:$J$204,7,FALSE)</x:f>
        <x:v>0</x:v>
      </x:c>
      <x:c r="K204" s="50" t="n">
        <x:f>VLOOKUP($A204,'02_征信特征'!$A$5:$J$204,8,FALSE)</x:f>
        <x:v>0</x:v>
      </x:c>
      <x:c r="L204" s="47" t="str">
        <x:f>VLOOKUP($A204,'02_征信特征'!$A$5:$J$204,9,FALSE)</x:f>
        <x:v>N</x:v>
      </x:c>
      <x:c r="M204" s="47" t="str">
        <x:f>VLOOKUP($A204,'03_决策日志'!$A$5:$G$204,4,FALSE)</x:f>
        <x:v>PASS</x:v>
      </x:c>
      <x:c r="N204" s="47" t="str">
        <x:f>IFERROR(VLOOKUP($A204,'04_人工审核'!$A$5:$H$57,6,FALSE),"NOT_REQUIRED")</x:f>
        <x:v>NOT_REQUIRED</x:v>
      </x:c>
      <x:c r="O204" s="47" t="str">
        <x:f>IFERROR(VLOOKUP($A204,'05_贷后表现'!$A$5:$J$137,2,FALSE),"N")</x:f>
        <x:v>Y</x:v>
      </x:c>
      <x:c r="P204" s="47" t="str">
        <x:f>IFERROR(VLOOKUP($A204,'05_贷后表现'!$A$5:$J$137,6,FALSE),"")</x:f>
        <x:v>N</x:v>
      </x:c>
      <x:c r="Q204" s="47" t="str">
        <x:f>IFERROR(VLOOKUP($A204,'05_贷后表现'!$A$5:$J$137,7,FALSE),"")</x:f>
        <x:v>N</x:v>
      </x:c>
      <x:c r="R204" s="50" t="n">
        <x:f>IFERROR(VLOOKUP($A204,'05_贷后表现'!$A$5:$J$137,8,FALSE),"")</x:f>
        <x:v>12</x:v>
      </x:c>
      <x:c r="S204" s="36" t="str">
        <x:f>IF(F204&lt;500,"REJECT",IF(OR(I204&gt;=2,J204&gt;60),"REJECT",IF(F204&lt;560,"REVIEW",IF(G204="","REVIEW",IF(AND(L204&lt;&gt;"Y",G204&gt;0.7),"REVIEW","PASS")))))</x:f>
        <x:v>PASS</x:v>
      </x:c>
      <x:c r="T204" s="36" t="str">
        <x:f>M204&amp;"→"&amp;S204</x:f>
        <x:v>PASS→PASS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0" hidden="0" customWidth="1"/>
    <x:col min="5" max="5" width="13" hidden="0" customWidth="1"/>
    <x:col min="6" max="6" width="10" hidden="0" customWidth="1"/>
    <x:col min="7" max="7" width="13" hidden="0" customWidth="1"/>
    <x:col min="8" max="8" width="42" hidden="0" customWidth="1"/>
    <x:col min="9" max="9" width="24" hidden="0" customWidth="1"/>
  </x:cols>
  <x:sheetData>
    <x:row r="1" ht="30" customHeight="1">
      <x:c r="A1" s="3" t="str">
        <x:v>字段字典与数据口径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说明每张源表分别包含什么、字段能否用于策略以及必须遵守的时间和隐私口径。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1" t="str">
        <x:v>来源系统</x:v>
      </x:c>
      <x:c r="B4" s="11" t="str">
        <x:v>工作表</x:v>
      </x:c>
      <x:c r="C4" s="11" t="str">
        <x:v>字段名</x:v>
      </x:c>
      <x:c r="D4" s="11" t="str">
        <x:v>中文名称</x:v>
      </x:c>
      <x:c r="E4" s="11" t="str">
        <x:v>类型</x:v>
      </x:c>
      <x:c r="F4" s="11" t="str">
        <x:v>必填</x:v>
      </x:c>
      <x:c r="G4" s="11" t="str">
        <x:v>使用阶段</x:v>
      </x:c>
      <x:c r="H4" s="11" t="str">
        <x:v>业务说明</x:v>
      </x:c>
      <x:c r="I4" s="11" t="str">
        <x:v>示例</x:v>
      </x:c>
    </x:row>
    <x:row r="5" ht="34" customHeight="1">
      <x:c r="A5" s="16" t="str">
        <x:v>贷款申请系统</x:v>
      </x:c>
      <x:c r="B5" s="16" t="str">
        <x:v>01_申请数据</x:v>
      </x:c>
      <x:c r="C5" s="16" t="str">
        <x:v>application_id</x:v>
      </x:c>
      <x:c r="D5" s="16" t="str">
        <x:v>申请编号</x:v>
      </x:c>
      <x:c r="E5" s="16" t="str">
        <x:v>文本</x:v>
      </x:c>
      <x:c r="F5" s="16" t="str">
        <x:v>是</x:v>
      </x:c>
      <x:c r="G5" s="16" t="str">
        <x:v>是</x:v>
      </x:c>
      <x:c r="H5" s="52" t="str">
        <x:v>跨系统关联主键，已脱敏</x:v>
      </x:c>
      <x:c r="I5" s="16" t="str">
        <x:v>APP2025000001</x:v>
      </x:c>
    </x:row>
    <x:row r="6" ht="34" customHeight="1">
      <x:c r="A6" s="17" t="str">
        <x:v>贷款申请系统</x:v>
      </x:c>
      <x:c r="B6" s="17" t="str">
        <x:v>01_申请数据</x:v>
      </x:c>
      <x:c r="C6" s="17" t="str">
        <x:v>customer_token</x:v>
      </x:c>
      <x:c r="D6" s="17" t="str">
        <x:v>客户令牌</x:v>
      </x:c>
      <x:c r="E6" s="17" t="str">
        <x:v>文本</x:v>
      </x:c>
      <x:c r="F6" s="17" t="str">
        <x:v>是</x:v>
      </x:c>
      <x:c r="G6" s="17" t="str">
        <x:v>否</x:v>
      </x:c>
      <x:c r="H6" s="53" t="str">
        <x:v>不可逆脱敏客户标识，仅用于去重</x:v>
      </x:c>
      <x:c r="I6" s="17" t="str">
        <x:v>CUS_00100000</x:v>
      </x:c>
    </x:row>
    <x:row r="7" ht="34" customHeight="1">
      <x:c r="A7" s="17" t="str">
        <x:v>贷款申请系统</x:v>
      </x:c>
      <x:c r="B7" s="17" t="str">
        <x:v>01_申请数据</x:v>
      </x:c>
      <x:c r="C7" s="17" t="str">
        <x:v>apply_time</x:v>
      </x:c>
      <x:c r="D7" s="17" t="str">
        <x:v>申请时间</x:v>
      </x:c>
      <x:c r="E7" s="17" t="str">
        <x:v>日期时间</x:v>
      </x:c>
      <x:c r="F7" s="17" t="str">
        <x:v>是</x:v>
      </x:c>
      <x:c r="G7" s="17" t="str">
        <x:v>是</x:v>
      </x:c>
      <x:c r="H7" s="53" t="str">
        <x:v>策略执行时点</x:v>
      </x:c>
      <x:c r="I7" s="17" t="str">
        <x:v>2025-01-15 10:20</x:v>
      </x:c>
    </x:row>
    <x:row r="8" ht="34" customHeight="1">
      <x:c r="A8" s="17" t="str">
        <x:v>贷款申请系统</x:v>
      </x:c>
      <x:c r="B8" s="17" t="str">
        <x:v>01_申请数据</x:v>
      </x:c>
      <x:c r="C8" s="17" t="str">
        <x:v>product_code</x:v>
      </x:c>
      <x:c r="D8" s="17" t="str">
        <x:v>贷款产品</x:v>
      </x:c>
      <x:c r="E8" s="17" t="str">
        <x:v>文本</x:v>
      </x:c>
      <x:c r="F8" s="17" t="str">
        <x:v>是</x:v>
      </x:c>
      <x:c r="G8" s="17" t="str">
        <x:v>是</x:v>
      </x:c>
      <x:c r="H8" s="53" t="str">
        <x:v>本样例固定为标准消费贷</x:v>
      </x:c>
      <x:c r="I8" s="17" t="str">
        <x:v>PL_STD_01</x:v>
      </x:c>
    </x:row>
    <x:row r="9" ht="34" customHeight="1">
      <x:c r="A9" s="17" t="str">
        <x:v>贷款申请系统</x:v>
      </x:c>
      <x:c r="B9" s="17" t="str">
        <x:v>01_申请数据</x:v>
      </x:c>
      <x:c r="C9" s="17" t="str">
        <x:v>requested_amount</x:v>
      </x:c>
      <x:c r="D9" s="17" t="str">
        <x:v>申请金额</x:v>
      </x:c>
      <x:c r="E9" s="17" t="str">
        <x:v>金额</x:v>
      </x:c>
      <x:c r="F9" s="17" t="str">
        <x:v>是</x:v>
      </x:c>
      <x:c r="G9" s="17" t="str">
        <x:v>是</x:v>
      </x:c>
      <x:c r="H9" s="53" t="str">
        <x:v>客户申请的贷款金额</x:v>
      </x:c>
      <x:c r="I9" s="17" t="str">
        <x:v>50000</x:v>
      </x:c>
    </x:row>
    <x:row r="10" ht="34" customHeight="1">
      <x:c r="A10" s="17" t="str">
        <x:v>贷款申请系统</x:v>
      </x:c>
      <x:c r="B10" s="17" t="str">
        <x:v>01_申请数据</x:v>
      </x:c>
      <x:c r="C10" s="17" t="str">
        <x:v>term_months</x:v>
      </x:c>
      <x:c r="D10" s="17" t="str">
        <x:v>贷款期限</x:v>
      </x:c>
      <x:c r="E10" s="17" t="str">
        <x:v>整数</x:v>
      </x:c>
      <x:c r="F10" s="17" t="str">
        <x:v>是</x:v>
      </x:c>
      <x:c r="G10" s="17" t="str">
        <x:v>是</x:v>
      </x:c>
      <x:c r="H10" s="53" t="str">
        <x:v>单位：月</x:v>
      </x:c>
      <x:c r="I10" s="17" t="str">
        <x:v>12</x:v>
      </x:c>
    </x:row>
    <x:row r="11" ht="34" customHeight="1">
      <x:c r="A11" s="17" t="str">
        <x:v>贷款申请系统</x:v>
      </x:c>
      <x:c r="B11" s="17" t="str">
        <x:v>01_申请数据</x:v>
      </x:c>
      <x:c r="C11" s="17" t="str">
        <x:v>age_band</x:v>
      </x:c>
      <x:c r="D11" s="17" t="str">
        <x:v>年龄段</x:v>
      </x:c>
      <x:c r="E11" s="17" t="str">
        <x:v>枚举</x:v>
      </x:c>
      <x:c r="F11" s="17" t="str">
        <x:v>否</x:v>
      </x:c>
      <x:c r="G11" s="17" t="str">
        <x:v>谨慎</x:v>
      </x:c>
      <x:c r="H11" s="53" t="str">
        <x:v>不保留出生日期；涉及公平性检查</x:v>
      </x:c>
      <x:c r="I11" s="17" t="str">
        <x:v>31-40</x:v>
      </x:c>
    </x:row>
    <x:row r="12" ht="34" customHeight="1">
      <x:c r="A12" s="17" t="str">
        <x:v>贷款申请系统</x:v>
      </x:c>
      <x:c r="B12" s="17" t="str">
        <x:v>01_申请数据</x:v>
      </x:c>
      <x:c r="C12" s="17" t="str">
        <x:v>region_code</x:v>
      </x:c>
      <x:c r="D12" s="17" t="str">
        <x:v>区域代码</x:v>
      </x:c>
      <x:c r="E12" s="17" t="str">
        <x:v>枚举</x:v>
      </x:c>
      <x:c r="F12" s="17" t="str">
        <x:v>否</x:v>
      </x:c>
      <x:c r="G12" s="17" t="str">
        <x:v>谨慎</x:v>
      </x:c>
      <x:c r="H12" s="53" t="str">
        <x:v>粗粒度区域；涉及公平性检查</x:v>
      </x:c>
      <x:c r="I12" s="17" t="str">
        <x:v>EAST</x:v>
      </x:c>
    </x:row>
    <x:row r="13" ht="34" customHeight="1">
      <x:c r="A13" s="17" t="str">
        <x:v>贷款申请系统</x:v>
      </x:c>
      <x:c r="B13" s="17" t="str">
        <x:v>01_申请数据</x:v>
      </x:c>
      <x:c r="C13" s="17" t="str">
        <x:v>occupation_type</x:v>
      </x:c>
      <x:c r="D13" s="17" t="str">
        <x:v>职业类型</x:v>
      </x:c>
      <x:c r="E13" s="17" t="str">
        <x:v>枚举</x:v>
      </x:c>
      <x:c r="F13" s="17" t="str">
        <x:v>否</x:v>
      </x:c>
      <x:c r="G13" s="17" t="str">
        <x:v>是</x:v>
      </x:c>
      <x:c r="H13" s="53" t="str">
        <x:v>职业大类，不包含单位名称</x:v>
      </x:c>
      <x:c r="I13" s="17" t="str">
        <x:v>制造业职员</x:v>
      </x:c>
    </x:row>
    <x:row r="14" ht="34" customHeight="1">
      <x:c r="A14" s="17" t="str">
        <x:v>贷款申请系统</x:v>
      </x:c>
      <x:c r="B14" s="17" t="str">
        <x:v>01_申请数据</x:v>
      </x:c>
      <x:c r="C14" s="17" t="str">
        <x:v>monthly_income</x:v>
      </x:c>
      <x:c r="D14" s="17" t="str">
        <x:v>月收入</x:v>
      </x:c>
      <x:c r="E14" s="17" t="str">
        <x:v>金额</x:v>
      </x:c>
      <x:c r="F14" s="17" t="str">
        <x:v>是</x:v>
      </x:c>
      <x:c r="G14" s="17" t="str">
        <x:v>是</x:v>
      </x:c>
      <x:c r="H14" s="53" t="str">
        <x:v>申请时核验后的月收入</x:v>
      </x:c>
      <x:c r="I14" s="17" t="str">
        <x:v>12000</x:v>
      </x:c>
    </x:row>
    <x:row r="15" ht="34" customHeight="1">
      <x:c r="A15" s="17" t="str">
        <x:v>贷款申请系统</x:v>
      </x:c>
      <x:c r="B15" s="17" t="str">
        <x:v>01_申请数据</x:v>
      </x:c>
      <x:c r="C15" s="17" t="str">
        <x:v>work_years</x:v>
      </x:c>
      <x:c r="D15" s="17" t="str">
        <x:v>工作年限</x:v>
      </x:c>
      <x:c r="E15" s="17" t="str">
        <x:v>整数</x:v>
      </x:c>
      <x:c r="F15" s="17" t="str">
        <x:v>否</x:v>
      </x:c>
      <x:c r="G15" s="17" t="str">
        <x:v>是</x:v>
      </x:c>
      <x:c r="H15" s="53" t="str">
        <x:v>当前职业连续工作年限</x:v>
      </x:c>
      <x:c r="I15" s="17" t="str">
        <x:v>5</x:v>
      </x:c>
    </x:row>
    <x:row r="16" ht="34" customHeight="1">
      <x:c r="A16" s="17" t="str">
        <x:v>贷款申请系统</x:v>
      </x:c>
      <x:c r="B16" s="17" t="str">
        <x:v>01_申请数据</x:v>
      </x:c>
      <x:c r="C16" s="17" t="str">
        <x:v>channel_code</x:v>
      </x:c>
      <x:c r="D16" s="17" t="str">
        <x:v>申请渠道</x:v>
      </x:c>
      <x:c r="E16" s="17" t="str">
        <x:v>枚举</x:v>
      </x:c>
      <x:c r="F16" s="17" t="str">
        <x:v>是</x:v>
      </x:c>
      <x:c r="G16" s="17" t="str">
        <x:v>是</x:v>
      </x:c>
      <x:c r="H16" s="53" t="str">
        <x:v>APP、WEB或合作渠道</x:v>
      </x:c>
      <x:c r="I16" s="17" t="str">
        <x:v>APP</x:v>
      </x:c>
    </x:row>
    <x:row r="17" ht="34" customHeight="1">
      <x:c r="A17" s="17" t="str">
        <x:v>征信/特征平台</x:v>
      </x:c>
      <x:c r="B17" s="17" t="str">
        <x:v>02_征信特征</x:v>
      </x:c>
      <x:c r="C17" s="17" t="str">
        <x:v>credit_score</x:v>
      </x:c>
      <x:c r="D17" s="17" t="str">
        <x:v>信用评分</x:v>
      </x:c>
      <x:c r="E17" s="17" t="str">
        <x:v>整数</x:v>
      </x:c>
      <x:c r="F17" s="17" t="str">
        <x:v>是</x:v>
      </x:c>
      <x:c r="G17" s="17" t="str">
        <x:v>是</x:v>
      </x:c>
      <x:c r="H17" s="53" t="str">
        <x:v>申请时点取得的评分</x:v>
      </x:c>
      <x:c r="I17" s="17" t="str">
        <x:v>680</x:v>
      </x:c>
    </x:row>
    <x:row r="18" ht="34" customHeight="1">
      <x:c r="A18" s="17" t="str">
        <x:v>征信/特征平台</x:v>
      </x:c>
      <x:c r="B18" s="17" t="str">
        <x:v>02_征信特征</x:v>
      </x:c>
      <x:c r="C18" s="17" t="str">
        <x:v>debt_income_ratio</x:v>
      </x:c>
      <x:c r="D18" s="17" t="str">
        <x:v>负债收入比</x:v>
      </x:c>
      <x:c r="E18" s="17" t="str">
        <x:v>小数</x:v>
      </x:c>
      <x:c r="F18" s="17" t="str">
        <x:v>否</x:v>
      </x:c>
      <x:c r="G18" s="17" t="str">
        <x:v>是</x:v>
      </x:c>
      <x:c r="H18" s="53" t="str">
        <x:v>范围通常0–1，可为空</x:v>
      </x:c>
      <x:c r="I18" s="17" t="str">
        <x:v>0.65</x:v>
      </x:c>
    </x:row>
    <x:row r="19" ht="34" customHeight="1">
      <x:c r="A19" s="17" t="str">
        <x:v>征信/特征平台</x:v>
      </x:c>
      <x:c r="B19" s="17" t="str">
        <x:v>02_征信特征</x:v>
      </x:c>
      <x:c r="C19" s="17" t="str">
        <x:v>current_loans</x:v>
      </x:c>
      <x:c r="D19" s="17" t="str">
        <x:v>当前贷款数</x:v>
      </x:c>
      <x:c r="E19" s="17" t="str">
        <x:v>整数</x:v>
      </x:c>
      <x:c r="F19" s="17" t="str">
        <x:v>是</x:v>
      </x:c>
      <x:c r="G19" s="17" t="str">
        <x:v>是</x:v>
      </x:c>
      <x:c r="H19" s="53" t="str">
        <x:v>申请时未结清贷款数量</x:v>
      </x:c>
      <x:c r="I19" s="17" t="str">
        <x:v>2</x:v>
      </x:c>
    </x:row>
    <x:row r="20" ht="34" customHeight="1">
      <x:c r="A20" s="17" t="str">
        <x:v>征信/特征平台</x:v>
      </x:c>
      <x:c r="B20" s="17" t="str">
        <x:v>02_征信特征</x:v>
      </x:c>
      <x:c r="C20" s="17" t="str">
        <x:v>overdue_count_12m</x:v>
      </x:c>
      <x:c r="D20" s="17" t="str">
        <x:v>近12个月逾期次数</x:v>
      </x:c>
      <x:c r="E20" s="17" t="str">
        <x:v>整数</x:v>
      </x:c>
      <x:c r="F20" s="17" t="str">
        <x:v>是</x:v>
      </x:c>
      <x:c r="G20" s="17" t="str">
        <x:v>是</x:v>
      </x:c>
      <x:c r="H20" s="53" t="str">
        <x:v>当前候选策略核心字段</x:v>
      </x:c>
      <x:c r="I20" s="17" t="str">
        <x:v>1</x:v>
      </x:c>
    </x:row>
    <x:row r="21" ht="34" customHeight="1">
      <x:c r="A21" s="17" t="str">
        <x:v>征信/特征平台</x:v>
      </x:c>
      <x:c r="B21" s="17" t="str">
        <x:v>02_征信特征</x:v>
      </x:c>
      <x:c r="C21" s="17" t="str">
        <x:v>max_overdue_days</x:v>
      </x:c>
      <x:c r="D21" s="17" t="str">
        <x:v>最大逾期天数</x:v>
      </x:c>
      <x:c r="E21" s="17" t="str">
        <x:v>整数</x:v>
      </x:c>
      <x:c r="F21" s="17" t="str">
        <x:v>是</x:v>
      </x:c>
      <x:c r="G21" s="17" t="str">
        <x:v>是</x:v>
      </x:c>
      <x:c r="H21" s="53" t="str">
        <x:v>当前候选策略核心字段</x:v>
      </x:c>
      <x:c r="I21" s="17" t="str">
        <x:v>28</x:v>
      </x:c>
    </x:row>
    <x:row r="22" ht="34" customHeight="1">
      <x:c r="A22" s="17" t="str">
        <x:v>征信/特征平台</x:v>
      </x:c>
      <x:c r="B22" s="17" t="str">
        <x:v>02_征信特征</x:v>
      </x:c>
      <x:c r="C22" s="17" t="str">
        <x:v>inquiries_6m</x:v>
      </x:c>
      <x:c r="D22" s="17" t="str">
        <x:v>近6个月查询次数</x:v>
      </x:c>
      <x:c r="E22" s="17" t="str">
        <x:v>整数</x:v>
      </x:c>
      <x:c r="F22" s="17" t="str">
        <x:v>是</x:v>
      </x:c>
      <x:c r="G22" s="17" t="str">
        <x:v>是</x:v>
      </x:c>
      <x:c r="H22" s="53" t="str">
        <x:v>硬查询次数</x:v>
      </x:c>
      <x:c r="I22" s="17" t="str">
        <x:v>4</x:v>
      </x:c>
    </x:row>
    <x:row r="23" ht="34" customHeight="1">
      <x:c r="A23" s="17" t="str">
        <x:v>征信/特征平台</x:v>
      </x:c>
      <x:c r="B23" s="17" t="str">
        <x:v>02_征信特征</x:v>
      </x:c>
      <x:c r="C23" s="17" t="str">
        <x:v>whitelist_flag</x:v>
      </x:c>
      <x:c r="D23" s="17" t="str">
        <x:v>白名单标识</x:v>
      </x:c>
      <x:c r="E23" s="17" t="str">
        <x:v>枚举</x:v>
      </x:c>
      <x:c r="F23" s="17" t="str">
        <x:v>是</x:v>
      </x:c>
      <x:c r="G23" s="17" t="str">
        <x:v>是</x:v>
      </x:c>
      <x:c r="H23" s="53" t="str">
        <x:v>Y/N；使用目的必须审计</x:v>
      </x:c>
      <x:c r="I23" s="17" t="str">
        <x:v>N</x:v>
      </x:c>
    </x:row>
    <x:row r="24" ht="34" customHeight="1">
      <x:c r="A24" s="17" t="str">
        <x:v>征信/特征平台</x:v>
      </x:c>
      <x:c r="B24" s="17" t="str">
        <x:v>02_征信特征</x:v>
      </x:c>
      <x:c r="C24" s="17" t="str">
        <x:v>feature_snapshot_time</x:v>
      </x:c>
      <x:c r="D24" s="17" t="str">
        <x:v>特征快照时间</x:v>
      </x:c>
      <x:c r="E24" s="17" t="str">
        <x:v>日期时间</x:v>
      </x:c>
      <x:c r="F24" s="17" t="str">
        <x:v>是</x:v>
      </x:c>
      <x:c r="G24" s="17" t="str">
        <x:v>是</x:v>
      </x:c>
      <x:c r="H24" s="53" t="str">
        <x:v>必须早于决策时间，防止时间穿越</x:v>
      </x:c>
      <x:c r="I24" s="17" t="str">
        <x:v>2025-01-15 10:22</x:v>
      </x:c>
    </x:row>
    <x:row r="25" ht="34" customHeight="1">
      <x:c r="A25" s="17" t="str">
        <x:v>决策引擎</x:v>
      </x:c>
      <x:c r="B25" s="17" t="str">
        <x:v>03_决策日志</x:v>
      </x:c>
      <x:c r="C25" s="17" t="str">
        <x:v>strategy_version</x:v>
      </x:c>
      <x:c r="D25" s="17" t="str">
        <x:v>历史策略版本</x:v>
      </x:c>
      <x:c r="E25" s="17" t="str">
        <x:v>文本</x:v>
      </x:c>
      <x:c r="F25" s="17" t="str">
        <x:v>是</x:v>
      </x:c>
      <x:c r="G25" s="17" t="str">
        <x:v>结果</x:v>
      </x:c>
      <x:c r="H25" s="53" t="str">
        <x:v>历史决策使用的策略版本</x:v>
      </x:c>
      <x:c r="I25" s="17" t="str">
        <x:v>v1.6</x:v>
      </x:c>
    </x:row>
    <x:row r="26" ht="34" customHeight="1">
      <x:c r="A26" s="17" t="str">
        <x:v>决策引擎</x:v>
      </x:c>
      <x:c r="B26" s="17" t="str">
        <x:v>03_决策日志</x:v>
      </x:c>
      <x:c r="C26" s="17" t="str">
        <x:v>old_decision</x:v>
      </x:c>
      <x:c r="D26" s="17" t="str">
        <x:v>原策略决策</x:v>
      </x:c>
      <x:c r="E26" s="17" t="str">
        <x:v>枚举</x:v>
      </x:c>
      <x:c r="F26" s="17" t="str">
        <x:v>是</x:v>
      </x:c>
      <x:c r="G26" s="17" t="str">
        <x:v>结果</x:v>
      </x:c>
      <x:c r="H26" s="53" t="str">
        <x:v>PASS、REVIEW或REJECT</x:v>
      </x:c>
      <x:c r="I26" s="17" t="str">
        <x:v>PASS</x:v>
      </x:c>
    </x:row>
    <x:row r="27" ht="34" customHeight="1">
      <x:c r="A27" s="17" t="str">
        <x:v>决策引擎</x:v>
      </x:c>
      <x:c r="B27" s="17" t="str">
        <x:v>03_决策日志</x:v>
      </x:c>
      <x:c r="C27" s="17" t="str">
        <x:v>hit_rule_id</x:v>
      </x:c>
      <x:c r="D27" s="17" t="str">
        <x:v>命中规则</x:v>
      </x:c>
      <x:c r="E27" s="17" t="str">
        <x:v>文本</x:v>
      </x:c>
      <x:c r="F27" s="17" t="str">
        <x:v>是</x:v>
      </x:c>
      <x:c r="G27" s="17" t="str">
        <x:v>结果</x:v>
      </x:c>
      <x:c r="H27" s="53" t="str">
        <x:v>历史决策的首要命中规则</x:v>
      </x:c>
      <x:c r="I27" s="17" t="str">
        <x:v>R002</x:v>
      </x:c>
    </x:row>
    <x:row r="28" ht="34" customHeight="1">
      <x:c r="A28" s="17" t="str">
        <x:v>决策引擎</x:v>
      </x:c>
      <x:c r="B28" s="17" t="str">
        <x:v>03_决策日志</x:v>
      </x:c>
      <x:c r="C28" s="17" t="str">
        <x:v>decision_reason</x:v>
      </x:c>
      <x:c r="D28" s="17" t="str">
        <x:v>决策原因</x:v>
      </x:c>
      <x:c r="E28" s="17" t="str">
        <x:v>文本</x:v>
      </x:c>
      <x:c r="F28" s="17" t="str">
        <x:v>是</x:v>
      </x:c>
      <x:c r="G28" s="17" t="str">
        <x:v>结果</x:v>
      </x:c>
      <x:c r="H28" s="53" t="str">
        <x:v>可解释决策文本</x:v>
      </x:c>
      <x:c r="I28" s="17" t="str">
        <x:v>负债收入比超过80%</x:v>
      </x:c>
    </x:row>
    <x:row r="29" ht="34" customHeight="1">
      <x:c r="A29" s="17" t="str">
        <x:v>人工审核系统</x:v>
      </x:c>
      <x:c r="B29" s="17" t="str">
        <x:v>04_人工审核</x:v>
      </x:c>
      <x:c r="C29" s="17" t="str">
        <x:v>review_result</x:v>
      </x:c>
      <x:c r="D29" s="17" t="str">
        <x:v>人工审核结论</x:v>
      </x:c>
      <x:c r="E29" s="17" t="str">
        <x:v>枚举</x:v>
      </x:c>
      <x:c r="F29" s="17" t="str">
        <x:v>是</x:v>
      </x:c>
      <x:c r="G29" s="17" t="str">
        <x:v>结果</x:v>
      </x:c>
      <x:c r="H29" s="53" t="str">
        <x:v>APPROVE或DECLINE，仅人审申请存在</x:v>
      </x:c>
      <x:c r="I29" s="17" t="str">
        <x:v>APPROVE</x:v>
      </x:c>
    </x:row>
    <x:row r="30" ht="34" customHeight="1">
      <x:c r="A30" s="17" t="str">
        <x:v>人工审核系统</x:v>
      </x:c>
      <x:c r="B30" s="17" t="str">
        <x:v>04_人工审核</x:v>
      </x:c>
      <x:c r="C30" s="17" t="str">
        <x:v>review_reason</x:v>
      </x:c>
      <x:c r="D30" s="17" t="str">
        <x:v>审核原因</x:v>
      </x:c>
      <x:c r="E30" s="17" t="str">
        <x:v>文本</x:v>
      </x:c>
      <x:c r="F30" s="17" t="str">
        <x:v>否</x:v>
      </x:c>
      <x:c r="G30" s="17" t="str">
        <x:v>结果</x:v>
      </x:c>
      <x:c r="H30" s="53" t="str">
        <x:v>不包含审核员姓名</x:v>
      </x:c>
      <x:c r="I30" s="17" t="str">
        <x:v>补充材料验证通过</x:v>
      </x:c>
    </x:row>
    <x:row r="31" ht="34" customHeight="1">
      <x:c r="A31" s="17" t="str">
        <x:v>人工审核系统</x:v>
      </x:c>
      <x:c r="B31" s="17" t="str">
        <x:v>04_人工审核</x:v>
      </x:c>
      <x:c r="C31" s="17" t="str">
        <x:v>review_duration_minutes</x:v>
      </x:c>
      <x:c r="D31" s="17" t="str">
        <x:v>审核时长</x:v>
      </x:c>
      <x:c r="E31" s="17" t="str">
        <x:v>整数</x:v>
      </x:c>
      <x:c r="F31" s="17" t="str">
        <x:v>是</x:v>
      </x:c>
      <x:c r="G31" s="17" t="str">
        <x:v>运营指标</x:v>
      </x:c>
      <x:c r="H31" s="53" t="str">
        <x:v>单位：分钟</x:v>
      </x:c>
      <x:c r="I31" s="17" t="str">
        <x:v>35</x:v>
      </x:c>
    </x:row>
    <x:row r="32" ht="34" customHeight="1">
      <x:c r="A32" s="17" t="str">
        <x:v>账务/贷后系统</x:v>
      </x:c>
      <x:c r="B32" s="17" t="str">
        <x:v>05_贷后表现</x:v>
      </x:c>
      <x:c r="C32" s="17" t="str">
        <x:v>funded_flag</x:v>
      </x:c>
      <x:c r="D32" s="17" t="str">
        <x:v>是否放款</x:v>
      </x:c>
      <x:c r="E32" s="17" t="str">
        <x:v>布尔枚举</x:v>
      </x:c>
      <x:c r="F32" s="17" t="str">
        <x:v>是</x:v>
      </x:c>
      <x:c r="G32" s="17" t="str">
        <x:v>结果</x:v>
      </x:c>
      <x:c r="H32" s="53" t="str">
        <x:v>Y/N；只有放款样本才有贷后表现</x:v>
      </x:c>
      <x:c r="I32" s="17" t="str">
        <x:v>Y</x:v>
      </x:c>
    </x:row>
    <x:row r="33" ht="34" customHeight="1">
      <x:c r="A33" s="17" t="str">
        <x:v>账务/贷后系统</x:v>
      </x:c>
      <x:c r="B33" s="17" t="str">
        <x:v>05_贷后表现</x:v>
      </x:c>
      <x:c r="C33" s="17" t="str">
        <x:v>funded_amount</x:v>
      </x:c>
      <x:c r="D33" s="17" t="str">
        <x:v>实际放款金额</x:v>
      </x:c>
      <x:c r="E33" s="17" t="str">
        <x:v>金额</x:v>
      </x:c>
      <x:c r="F33" s="17" t="str">
        <x:v>是</x:v>
      </x:c>
      <x:c r="G33" s="17" t="str">
        <x:v>结果</x:v>
      </x:c>
      <x:c r="H33" s="53" t="str">
        <x:v>可能小于申请金额</x:v>
      </x:c>
      <x:c r="I33" s="17" t="str">
        <x:v>45000</x:v>
      </x:c>
    </x:row>
    <x:row r="34" ht="34" customHeight="1">
      <x:c r="A34" s="17" t="str">
        <x:v>账务/贷后系统</x:v>
      </x:c>
      <x:c r="B34" s="17" t="str">
        <x:v>05_贷后表现</x:v>
      </x:c>
      <x:c r="C34" s="17" t="str">
        <x:v>bad30</x:v>
      </x:c>
      <x:c r="D34" s="17" t="str">
        <x:v>是否30天逾期</x:v>
      </x:c>
      <x:c r="E34" s="17" t="str">
        <x:v>布尔枚举</x:v>
      </x:c>
      <x:c r="F34" s="17" t="str">
        <x:v>是</x:v>
      </x:c>
      <x:c r="G34" s="17" t="str">
        <x:v>结果</x:v>
      </x:c>
      <x:c r="H34" s="53" t="str">
        <x:v>Y/N；至少观察3个月后使用</x:v>
      </x:c>
      <x:c r="I34" s="17" t="str">
        <x:v>N</x:v>
      </x:c>
    </x:row>
    <x:row r="35" ht="34" customHeight="1">
      <x:c r="A35" s="17" t="str">
        <x:v>账务/贷后系统</x:v>
      </x:c>
      <x:c r="B35" s="17" t="str">
        <x:v>05_贷后表现</x:v>
      </x:c>
      <x:c r="C35" s="17" t="str">
        <x:v>bad90</x:v>
      </x:c>
      <x:c r="D35" s="17" t="str">
        <x:v>是否90天逾期</x:v>
      </x:c>
      <x:c r="E35" s="17" t="str">
        <x:v>布尔枚举</x:v>
      </x:c>
      <x:c r="F35" s="17" t="str">
        <x:v>是</x:v>
      </x:c>
      <x:c r="G35" s="17" t="str">
        <x:v>结果</x:v>
      </x:c>
      <x:c r="H35" s="53" t="str">
        <x:v>Y/N；至少观察6个月后使用</x:v>
      </x:c>
      <x:c r="I35" s="17" t="str">
        <x:v>N</x:v>
      </x:c>
    </x:row>
    <x:row r="36" ht="34" customHeight="1">
      <x:c r="A36" s="17" t="str">
        <x:v>账务/贷后系统</x:v>
      </x:c>
      <x:c r="B36" s="17" t="str">
        <x:v>05_贷后表现</x:v>
      </x:c>
      <x:c r="C36" s="17" t="str">
        <x:v>observed_months</x:v>
      </x:c>
      <x:c r="D36" s="17" t="str">
        <x:v>已观察月份</x:v>
      </x:c>
      <x:c r="E36" s="17" t="str">
        <x:v>整数</x:v>
      </x:c>
      <x:c r="F36" s="17" t="str">
        <x:v>是</x:v>
      </x:c>
      <x:c r="G36" s="17" t="str">
        <x:v>结果</x:v>
      </x:c>
      <x:c r="H36" s="53" t="str">
        <x:v>用于判断标签是否成熟</x:v>
      </x:c>
      <x:c r="I36" s="17" t="str">
        <x:v>9</x:v>
      </x:c>
    </x:row>
    <x:row r="37" ht="34" customHeight="1">
      <x:c r="A37" s="17" t="str">
        <x:v>策略仿真加工</x:v>
      </x:c>
      <x:c r="B37" s="17" t="str">
        <x:v>06_仿真宽表</x:v>
      </x:c>
      <x:c r="C37" s="17" t="str">
        <x:v>candidate_decision</x:v>
      </x:c>
      <x:c r="D37" s="17" t="str">
        <x:v>候选策略决策</x:v>
      </x:c>
      <x:c r="E37" s="17" t="str">
        <x:v>公式</x:v>
      </x:c>
      <x:c r="F37" s="17" t="str">
        <x:v>是</x:v>
      </x:c>
      <x:c r="G37" s="17" t="str">
        <x:v>输出</x:v>
      </x:c>
      <x:c r="H37" s="53" t="str">
        <x:v>按2次、60天、70%阈值计算</x:v>
      </x:c>
      <x:c r="I37" s="17" t="str">
        <x:v>REVIEW</x:v>
      </x:c>
    </x:row>
    <x:row r="38" ht="34" customHeight="1">
      <x:c r="A38" s="18" t="str">
        <x:v>策略仿真加工</x:v>
      </x:c>
      <x:c r="B38" s="18" t="str">
        <x:v>06_仿真宽表</x:v>
      </x:c>
      <x:c r="C38" s="18" t="str">
        <x:v>transition</x:v>
      </x:c>
      <x:c r="D38" s="18" t="str">
        <x:v>新旧决策迁移</x:v>
      </x:c>
      <x:c r="E38" s="18" t="str">
        <x:v>公式</x:v>
      </x:c>
      <x:c r="F38" s="18" t="str">
        <x:v>是</x:v>
      </x:c>
      <x:c r="G38" s="18" t="str">
        <x:v>输出</x:v>
      </x:c>
      <x:c r="H38" s="54" t="str">
        <x:v>原策略决策→候选策略决策</x:v>
      </x:c>
      <x:c r="I38" s="18" t="str">
        <x:v>PASS→REVIEW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2" hidden="0" customWidth="1"/>
    <x:col min="5" max="5" width="10" hidden="0" customWidth="1"/>
    <x:col min="6" max="6" width="13" hidden="0" customWidth="1"/>
    <x:col min="7" max="7" width="42" hidden="0" customWidth="1"/>
  </x:cols>
  <x:sheetData>
    <x:row r="1">
      <x:c r="A1" s="2" t="str">
        <x:v>数据一致性检查</x:v>
      </x:c>
      <x:c r="B1" s="2"/>
      <x:c r="C1" s="2"/>
      <x:c r="D1" s="2"/>
      <x:c r="E1" s="2"/>
      <x:c r="F1" s="2"/>
      <x:c r="G1" s="2"/>
    </x:row>
    <x:row r="2">
      <x:c r="A2" s="58" t="str">
        <x:v>每条检查均应为 OK。差异不为零或状态为 CHECK 时，先修复数据再运行仿真。</x:v>
      </x:c>
      <x:c r="B2" s="58"/>
      <x:c r="C2" s="58"/>
      <x:c r="D2" s="58"/>
      <x:c r="E2" s="58"/>
      <x:c r="F2" s="58"/>
      <x:c r="G2" s="58"/>
    </x:row>
    <x:row r="4">
      <x:c r="A4" s="75" t="str">
        <x:v>检查项</x:v>
      </x:c>
      <x:c r="B4" s="75" t="str">
        <x:v>实际值</x:v>
      </x:c>
      <x:c r="C4" s="75" t="str">
        <x:v>期望值</x:v>
      </x:c>
      <x:c r="D4" s="75" t="str">
        <x:v>差异</x:v>
      </x:c>
      <x:c r="E4" s="75" t="str">
        <x:v>容差</x:v>
      </x:c>
      <x:c r="F4" s="75" t="str">
        <x:v>状态</x:v>
      </x:c>
      <x:c r="G4" s="75" t="str">
        <x:v>说明</x:v>
      </x:c>
    </x:row>
    <x:row r="5">
      <x:c r="A5" s="76" t="str">
        <x:v>申请记录数</x:v>
      </x:c>
      <x:c r="B5" s="79" t="n">
        <x:f>COUNTA('01_申请数据'!$A$5:$A$204)</x:f>
        <x:v>200</x:v>
      </x:c>
      <x:c r="C5" s="79" t="n">
        <x:v>200</x:v>
      </x:c>
      <x:c r="D5" s="79" t="n">
        <x:f>B5-C5</x:f>
        <x:v>0</x:v>
      </x:c>
      <x:c r="E5" s="79" t="n">
        <x:v>0</x:v>
      </x:c>
      <x:c r="F5" s="88" t="str">
        <x:f>IF(ABS(D5)&lt;=E5,"OK","CHECK")</x:f>
        <x:v>OK</x:v>
      </x:c>
      <x:c r="G5" s="76" t="str">
        <x:v>三张主输入表应覆盖全部申请</x:v>
      </x:c>
    </x:row>
    <x:row r="6">
      <x:c r="A6" s="77" t="str">
        <x:v>征信记录数</x:v>
      </x:c>
      <x:c r="B6" s="80" t="n">
        <x:f>COUNTA('02_征信特征'!$A$5:$A$204)</x:f>
        <x:v>200</x:v>
      </x:c>
      <x:c r="C6" s="80" t="n">
        <x:v>200</x:v>
      </x:c>
      <x:c r="D6" s="80" t="n">
        <x:f>B6-C6</x:f>
        <x:v>0</x:v>
      </x:c>
      <x:c r="E6" s="80" t="n">
        <x:v>0</x:v>
      </x:c>
      <x:c r="F6" s="89" t="str">
        <x:f>IF(ABS(D6)&lt;=E6,"OK","CHECK")</x:f>
        <x:v>OK</x:v>
      </x:c>
      <x:c r="G6" s="77" t="str">
        <x:v>征信特征与申请一一对应</x:v>
      </x:c>
    </x:row>
    <x:row r="7">
      <x:c r="A7" s="77" t="str">
        <x:v>决策记录数</x:v>
      </x:c>
      <x:c r="B7" s="80" t="n">
        <x:f>COUNTA('03_决策日志'!$A$5:$A$204)</x:f>
        <x:v>200</x:v>
      </x:c>
      <x:c r="C7" s="80" t="n">
        <x:v>200</x:v>
      </x:c>
      <x:c r="D7" s="80" t="n">
        <x:f>B7-C7</x:f>
        <x:v>0</x:v>
      </x:c>
      <x:c r="E7" s="80" t="n">
        <x:v>0</x:v>
      </x:c>
      <x:c r="F7" s="89" t="str">
        <x:f>IF(ABS(D7)&lt;=E7,"OK","CHECK")</x:f>
        <x:v>OK</x:v>
      </x:c>
      <x:c r="G7" s="77" t="str">
        <x:v>每笔申请必须有历史决策</x:v>
      </x:c>
    </x:row>
    <x:row r="8">
      <x:c r="A8" s="77" t="str">
        <x:v>仿真宽表记录数</x:v>
      </x:c>
      <x:c r="B8" s="80" t="n">
        <x:f>COUNTA('06_仿真宽表'!$A$5:$A$204)</x:f>
        <x:v>200</x:v>
      </x:c>
      <x:c r="C8" s="80" t="n">
        <x:v>200</x:v>
      </x:c>
      <x:c r="D8" s="80" t="n">
        <x:f>B8-C8</x:f>
        <x:v>0</x:v>
      </x:c>
      <x:c r="E8" s="80" t="n">
        <x:v>0</x:v>
      </x:c>
      <x:c r="F8" s="89" t="str">
        <x:f>IF(ABS(D8)&lt;=E8,"OK","CHECK")</x:f>
        <x:v>OK</x:v>
      </x:c>
      <x:c r="G8" s="77" t="str">
        <x:v>宽表应保留全部申请</x:v>
      </x:c>
    </x:row>
    <x:row r="9">
      <x:c r="A9" s="77" t="str">
        <x:v>宽表缺失信用评分</x:v>
      </x:c>
      <x:c r="B9" s="80" t="n">
        <x:f>COUNTBLANK('06_仿真宽表'!$F$5:$F$204)</x:f>
        <x:v>0</x:v>
      </x:c>
      <x:c r="C9" s="80" t="n">
        <x:v>0</x:v>
      </x:c>
      <x:c r="D9" s="80" t="n">
        <x:f>B9-C9</x:f>
        <x:v>0</x:v>
      </x:c>
      <x:c r="E9" s="80" t="n">
        <x:v>0</x:v>
      </x:c>
      <x:c r="F9" s="89" t="str">
        <x:f>IF(ABS(D9)&lt;=E9,"OK","CHECK")</x:f>
        <x:v>OK</x:v>
      </x:c>
      <x:c r="G9" s="77" t="str">
        <x:v>信用评分为候选规则必需字段</x:v>
      </x:c>
    </x:row>
    <x:row r="10">
      <x:c r="A10" s="77" t="str">
        <x:v>贷后记录与放款标识一致</x:v>
      </x:c>
      <x:c r="B10" s="80" t="n">
        <x:f>COUNTA('05_贷后表现'!$A$5:$A$137)</x:f>
        <x:v>133</x:v>
      </x:c>
      <x:c r="C10" s="80" t="n">
        <x:v>133</x:v>
      </x:c>
      <x:c r="D10" s="80" t="n">
        <x:f>B10-C10</x:f>
        <x:v>0</x:v>
      </x:c>
      <x:c r="E10" s="80" t="n">
        <x:v>0</x:v>
      </x:c>
      <x:c r="F10" s="89" t="str">
        <x:f>IF(ABS(D10)&lt;=E10,"OK","CHECK")</x:f>
        <x:v>OK</x:v>
      </x:c>
      <x:c r="G10" s="77" t="str">
        <x:v>贷后记录只对应已放款申请</x:v>
      </x:c>
    </x:row>
    <x:row r="11">
      <x:c r="A11" s="77" t="str">
        <x:v>90天逾期不超过30天逾期</x:v>
      </x:c>
      <x:c r="B11" s="80" t="n">
        <x:f>COUNTIFS('05_贷后表现'!$G$5:$G$137,"Y",'05_贷后表现'!$F$5:$F$137,"N")</x:f>
        <x:v>0</x:v>
      </x:c>
      <x:c r="C11" s="80" t="n">
        <x:v>0</x:v>
      </x:c>
      <x:c r="D11" s="80" t="n">
        <x:f>B11-C11</x:f>
        <x:v>0</x:v>
      </x:c>
      <x:c r="E11" s="80" t="n">
        <x:v>0</x:v>
      </x:c>
      <x:c r="F11" s="89" t="str">
        <x:f>IF(ABS(D11)&lt;=E11,"OK","CHECK")</x:f>
        <x:v>OK</x:v>
      </x:c>
      <x:c r="G11" s="77" t="str">
        <x:v>bad90 必须是 bad30 的子集</x:v>
      </x:c>
    </x:row>
    <x:row r="12">
      <x:c r="A12" s="97" t="str">
        <x:v>总体状态</x:v>
      </x:c>
      <x:c r="B12" s="98" t="n">
        <x:f>COUNTIF($F$5:$F$11,"CHECK")</x:f>
        <x:v>0</x:v>
      </x:c>
      <x:c r="C12" s="98" t="n">
        <x:v>0</x:v>
      </x:c>
      <x:c r="D12" s="98" t="n">
        <x:f>B12-C12</x:f>
        <x:v>0</x:v>
      </x:c>
      <x:c r="E12" s="98" t="n">
        <x:v>0</x:v>
      </x:c>
      <x:c r="F12" s="99" t="str">
        <x:f>IF(B12=0,"OK","CHECK")</x:f>
        <x:v>OK</x:v>
      </x:c>
      <x:c r="G12" s="97" t="str">
        <x:v>所有检查聚合结果</x:v>
      </x:c>
    </x:row>
  </x:sheetData>
  <x:mergeCells>
    <x:mergeCell ref="A1:G1"/>
    <x:mergeCell ref="A2:G2"/>
  </x:mergeCells>
  <x:pageMargins left="0.7" right="0.7" top="0.75" bottom="0.75" header="0.3" footer="0.3"/>
</x:worksheet>
</file>